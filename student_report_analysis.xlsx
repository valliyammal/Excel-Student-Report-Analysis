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Excel Projects\Student Report Analysis\"/>
    </mc:Choice>
  </mc:AlternateContent>
  <xr:revisionPtr revIDLastSave="0" documentId="13_ncr:1_{2093F0BA-4284-4E72-A909-2D6D9B6DFDED}" xr6:coauthVersionLast="47" xr6:coauthVersionMax="47" xr10:uidLastSave="{00000000-0000-0000-0000-000000000000}"/>
  <bookViews>
    <workbookView xWindow="-108" yWindow="-108" windowWidth="23256" windowHeight="12456" firstSheet="1" activeTab="3" xr2:uid="{C0C74A94-ABA9-4210-8EB1-BB2EE1BDC1F5}"/>
  </bookViews>
  <sheets>
    <sheet name="StudentsPerformance" sheetId="1" r:id="rId1"/>
    <sheet name="Student Analysis" sheetId="2" r:id="rId2"/>
    <sheet name="Pivot Table" sheetId="3" r:id="rId3"/>
    <sheet name="Student Dashboard" sheetId="4" r:id="rId4"/>
  </sheets>
  <definedNames>
    <definedName name="Slicer_gender">#N/A</definedName>
    <definedName name="Slicer_race_ethnicity">#N/A</definedName>
    <definedName name="Slicer_test_preparation_course">#N/A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2" l="1"/>
  <c r="N10" i="2"/>
  <c r="N7" i="2"/>
  <c r="N4" i="2"/>
  <c r="K601" i="2"/>
  <c r="J837" i="2"/>
  <c r="J969" i="2"/>
  <c r="J98" i="2"/>
  <c r="J715" i="2"/>
  <c r="J734" i="2"/>
  <c r="J960" i="2"/>
  <c r="J34" i="2"/>
  <c r="J401" i="2"/>
  <c r="J99" i="2"/>
  <c r="J184" i="2"/>
  <c r="J56" i="2"/>
  <c r="J624" i="2"/>
  <c r="J636" i="2"/>
  <c r="J166" i="2"/>
  <c r="J652" i="2"/>
  <c r="J925" i="2"/>
  <c r="J6" i="2"/>
  <c r="J52" i="2"/>
  <c r="J239" i="2"/>
  <c r="J427" i="2"/>
  <c r="J543" i="2"/>
  <c r="J111" i="2"/>
  <c r="J591" i="2"/>
  <c r="J678" i="2"/>
  <c r="J625" i="2"/>
  <c r="J276" i="2"/>
  <c r="J555" i="2"/>
  <c r="J491" i="2"/>
  <c r="J516" i="2"/>
  <c r="J608" i="2"/>
  <c r="J350" i="2"/>
  <c r="J380" i="2"/>
  <c r="J32" i="2"/>
  <c r="J934" i="2"/>
  <c r="J808" i="2"/>
  <c r="J788" i="2"/>
  <c r="J240" i="2"/>
  <c r="J880" i="2"/>
  <c r="J223" i="2"/>
  <c r="J224" i="2"/>
  <c r="J441" i="2"/>
  <c r="J258" i="2"/>
  <c r="J357" i="2"/>
  <c r="J162" i="2"/>
  <c r="J259" i="2"/>
  <c r="J303" i="2"/>
  <c r="J568" i="2"/>
  <c r="J517" i="2"/>
  <c r="J848" i="2"/>
  <c r="J143" i="2"/>
  <c r="J579" i="2"/>
  <c r="J64" i="2"/>
  <c r="J809" i="2"/>
  <c r="J816" i="2"/>
  <c r="J26" i="2"/>
  <c r="J881" i="2"/>
  <c r="J144" i="2"/>
  <c r="J249" i="2"/>
  <c r="J2" i="2"/>
  <c r="J679" i="2"/>
  <c r="J20" i="2"/>
  <c r="J277" i="2"/>
  <c r="J637" i="2"/>
  <c r="J260" i="2"/>
  <c r="J371" i="2"/>
  <c r="J29" i="2"/>
  <c r="J504" i="2"/>
  <c r="J250" i="2"/>
  <c r="J163" i="2"/>
  <c r="J390" i="2"/>
  <c r="J295" i="2"/>
  <c r="J69" i="2"/>
  <c r="J247" i="2"/>
  <c r="J65" i="2"/>
  <c r="J36" i="2"/>
  <c r="J7" i="2"/>
  <c r="J796" i="2"/>
  <c r="J518" i="2"/>
  <c r="J428" i="2"/>
  <c r="J88" i="2"/>
  <c r="J66" i="2"/>
  <c r="J112" i="2"/>
  <c r="J442" i="2"/>
  <c r="J23" i="2"/>
  <c r="J763" i="2"/>
  <c r="J838" i="2"/>
  <c r="J599" i="2"/>
  <c r="J402" i="2"/>
  <c r="J810" i="2"/>
  <c r="J556" i="2"/>
  <c r="J16" i="2"/>
  <c r="J647" i="2"/>
  <c r="J61" i="2"/>
  <c r="J894" i="2"/>
  <c r="J811" i="2"/>
  <c r="J381" i="2"/>
  <c r="J492" i="2"/>
  <c r="J338" i="2"/>
  <c r="J391" i="2"/>
  <c r="J569" i="2"/>
  <c r="J600" i="2"/>
  <c r="J929" i="2"/>
  <c r="J113" i="2"/>
  <c r="J957" i="2"/>
  <c r="J419" i="2"/>
  <c r="J980" i="2"/>
  <c r="J382" i="2"/>
  <c r="J429" i="2"/>
  <c r="J505" i="2"/>
  <c r="J927" i="2"/>
  <c r="J195" i="2"/>
  <c r="J127" i="2"/>
  <c r="J179" i="2"/>
  <c r="J998" i="2"/>
  <c r="J764" i="2"/>
  <c r="J817" i="2"/>
  <c r="J797" i="2"/>
  <c r="J251" i="2"/>
  <c r="J351" i="2"/>
  <c r="J910" i="2"/>
  <c r="J955" i="2"/>
  <c r="J958" i="2"/>
  <c r="J261" i="2"/>
  <c r="J772" i="2"/>
  <c r="J944" i="2"/>
  <c r="J519" i="2"/>
  <c r="J601" i="2"/>
  <c r="J789" i="2"/>
  <c r="J114" i="2"/>
  <c r="J886" i="2"/>
  <c r="J43" i="2"/>
  <c r="J726" i="2"/>
  <c r="J804" i="2"/>
  <c r="J706" i="2"/>
  <c r="J167" i="2"/>
  <c r="J89" i="2"/>
  <c r="J296" i="2"/>
  <c r="J372" i="2"/>
  <c r="J454" i="2"/>
  <c r="J626" i="2"/>
  <c r="J325" i="2"/>
  <c r="J115" i="2"/>
  <c r="J92" i="2"/>
  <c r="J798" i="2"/>
  <c r="J14" i="2"/>
  <c r="J839" i="2"/>
  <c r="J520" i="2"/>
  <c r="J670" i="2"/>
  <c r="J991" i="2"/>
  <c r="J430" i="2"/>
  <c r="J563" i="2"/>
  <c r="J403" i="2"/>
  <c r="J105" i="2"/>
  <c r="J358" i="2"/>
  <c r="J840" i="2"/>
  <c r="J615" i="2"/>
  <c r="J287" i="2"/>
  <c r="J753" i="2"/>
  <c r="J373" i="2"/>
  <c r="J754" i="2"/>
  <c r="J849" i="2"/>
  <c r="J128" i="2"/>
  <c r="J129" i="2"/>
  <c r="J928" i="2"/>
  <c r="J994" i="2"/>
  <c r="J133" i="2"/>
  <c r="J564" i="2"/>
  <c r="J716" i="2"/>
  <c r="J565" i="2"/>
  <c r="J627" i="2"/>
  <c r="J911" i="2"/>
  <c r="J834" i="2"/>
  <c r="J446" i="2"/>
  <c r="J100" i="2"/>
  <c r="J904" i="2"/>
  <c r="J153" i="2"/>
  <c r="J680" i="2"/>
  <c r="J316" i="2"/>
  <c r="J996" i="2"/>
  <c r="J493" i="2"/>
  <c r="J262" i="2"/>
  <c r="J93" i="2"/>
  <c r="J476" i="2"/>
  <c r="J90" i="2"/>
  <c r="J420" i="2"/>
  <c r="J648" i="2"/>
  <c r="J410" i="2"/>
  <c r="J82" i="2"/>
  <c r="J872" i="2"/>
  <c r="J447" i="2"/>
  <c r="J790" i="2"/>
  <c r="J374" i="2"/>
  <c r="J455" i="2"/>
  <c r="J791" i="2"/>
  <c r="J207" i="2"/>
  <c r="J383" i="2"/>
  <c r="J173" i="2"/>
  <c r="J122" i="2"/>
  <c r="J748" i="2"/>
  <c r="J781" i="2"/>
  <c r="J658" i="2"/>
  <c r="J592" i="2"/>
  <c r="J392" i="2"/>
  <c r="J74" i="2"/>
  <c r="J659" i="2"/>
  <c r="J506" i="2"/>
  <c r="J782" i="2"/>
  <c r="J727" i="2"/>
  <c r="J326" i="2"/>
  <c r="J792" i="2"/>
  <c r="J11" i="2"/>
  <c r="J185" i="2"/>
  <c r="J200" i="2"/>
  <c r="J905" i="2"/>
  <c r="J818" i="2"/>
  <c r="J895" i="2"/>
  <c r="J24" i="2"/>
  <c r="J570" i="2"/>
  <c r="J241" i="2"/>
  <c r="J431" i="2"/>
  <c r="J830" i="2"/>
  <c r="J304" i="2"/>
  <c r="J812" i="2"/>
  <c r="J362" i="2"/>
  <c r="J134" i="2"/>
  <c r="J593" i="2"/>
  <c r="J168" i="2"/>
  <c r="J477" i="2"/>
  <c r="J968" i="2"/>
  <c r="J507" i="2"/>
  <c r="J47" i="2"/>
  <c r="J773" i="2"/>
  <c r="J896" i="2"/>
  <c r="J854" i="2"/>
  <c r="J735" i="2"/>
  <c r="J411" i="2"/>
  <c r="J432" i="2"/>
  <c r="J148" i="2"/>
  <c r="J825" i="2"/>
  <c r="J521" i="2"/>
  <c r="J835" i="2"/>
  <c r="J180" i="2"/>
  <c r="J123" i="2"/>
  <c r="J616" i="2"/>
  <c r="J736" i="2"/>
  <c r="J799" i="2"/>
  <c r="J412" i="2"/>
  <c r="J363" i="2"/>
  <c r="J297" i="2"/>
  <c r="J83" i="2"/>
  <c r="J783" i="2"/>
  <c r="J448" i="2"/>
  <c r="J737" i="2"/>
  <c r="J154" i="2"/>
  <c r="J494" i="2"/>
  <c r="J495" i="2"/>
  <c r="J738" i="2"/>
  <c r="J660" i="2"/>
  <c r="J696" i="2"/>
  <c r="J638" i="2"/>
  <c r="J774" i="2"/>
  <c r="J84" i="2"/>
  <c r="J976" i="2"/>
  <c r="J609" i="2"/>
  <c r="J75" i="2"/>
  <c r="J628" i="2"/>
  <c r="J617" i="2"/>
  <c r="J961" i="2"/>
  <c r="J610" i="2"/>
  <c r="J384" i="2"/>
  <c r="J102" i="2"/>
  <c r="J155" i="2"/>
  <c r="J508" i="2"/>
  <c r="J855" i="2"/>
  <c r="J755" i="2"/>
  <c r="J950" i="2"/>
  <c r="J421" i="2"/>
  <c r="J728" i="2"/>
  <c r="J332" i="2"/>
  <c r="J94" i="2"/>
  <c r="J67" i="2"/>
  <c r="J775" i="2"/>
  <c r="J689" i="2"/>
  <c r="J41" i="2"/>
  <c r="J831" i="2"/>
  <c r="J939" i="2"/>
  <c r="J793" i="2"/>
  <c r="J800" i="2"/>
  <c r="J721" i="2"/>
  <c r="J580" i="2"/>
  <c r="J717" i="2"/>
  <c r="J288" i="2"/>
  <c r="J571" i="2"/>
  <c r="J765" i="2"/>
  <c r="J352" i="2"/>
  <c r="J44" i="2"/>
  <c r="J572" i="2"/>
  <c r="J58" i="2"/>
  <c r="J873" i="2"/>
  <c r="J805" i="2"/>
  <c r="J174" i="2"/>
  <c r="J739" i="2"/>
  <c r="J639" i="2"/>
  <c r="J740" i="2"/>
  <c r="J496" i="2"/>
  <c r="J940" i="2"/>
  <c r="J95" i="2"/>
  <c r="J364" i="2"/>
  <c r="J156" i="2"/>
  <c r="J718" i="2"/>
  <c r="J310" i="2"/>
  <c r="J413" i="2"/>
  <c r="J478" i="2"/>
  <c r="J433" i="2"/>
  <c r="J463" i="2"/>
  <c r="J863" i="2"/>
  <c r="J749" i="2"/>
  <c r="J469" i="2"/>
  <c r="J317" i="2"/>
  <c r="J722" i="2"/>
  <c r="J806" i="2"/>
  <c r="J741" i="2"/>
  <c r="J103" i="2"/>
  <c r="J45" i="2"/>
  <c r="J935" i="2"/>
  <c r="J318" i="2"/>
  <c r="J5" i="2"/>
  <c r="J756" i="2"/>
  <c r="J96" i="2"/>
  <c r="J375" i="2"/>
  <c r="J30" i="2"/>
  <c r="J227" i="2"/>
  <c r="J856" i="2"/>
  <c r="J952" i="2"/>
  <c r="J404" i="2"/>
  <c r="J594" i="2"/>
  <c r="J76" i="2"/>
  <c r="J9" i="2"/>
  <c r="J106" i="2"/>
  <c r="J228" i="2"/>
  <c r="J422" i="2"/>
  <c r="J629" i="2"/>
  <c r="J509" i="2"/>
  <c r="J630" i="2"/>
  <c r="J697" i="2"/>
  <c r="J289" i="2"/>
  <c r="J936" i="2"/>
  <c r="J595" i="2"/>
  <c r="J784" i="2"/>
  <c r="J333" i="2"/>
  <c r="J252" i="2"/>
  <c r="J649" i="2"/>
  <c r="J169" i="2"/>
  <c r="J449" i="2"/>
  <c r="J470" i="2"/>
  <c r="J327" i="2"/>
  <c r="J267" i="2"/>
  <c r="J305" i="2"/>
  <c r="J906" i="2"/>
  <c r="J282" i="2"/>
  <c r="J841" i="2"/>
  <c r="J208" i="2"/>
  <c r="J13" i="2"/>
  <c r="J268" i="2"/>
  <c r="J201" i="2"/>
  <c r="J290" i="2"/>
  <c r="J346" i="2"/>
  <c r="J196" i="2"/>
  <c r="J819" i="2"/>
  <c r="J742" i="2"/>
  <c r="J347" i="2"/>
  <c r="J640" i="2"/>
  <c r="J962" i="2"/>
  <c r="J464" i="2"/>
  <c r="J46" i="2"/>
  <c r="L46" i="2" s="1"/>
  <c r="J874" i="2"/>
  <c r="L874" i="2" s="1"/>
  <c r="J973" i="2"/>
  <c r="J729" i="2"/>
  <c r="J376" i="2"/>
  <c r="J857" i="2"/>
  <c r="J977" i="2"/>
  <c r="J730" i="2"/>
  <c r="J49" i="2"/>
  <c r="J38" i="2"/>
  <c r="J618" i="2"/>
  <c r="J522" i="2"/>
  <c r="J465" i="2"/>
  <c r="J359" i="2"/>
  <c r="J619" i="2"/>
  <c r="J443" i="2"/>
  <c r="J653" i="2"/>
  <c r="J544" i="2"/>
  <c r="J202" i="2"/>
  <c r="J602" i="2"/>
  <c r="J53" i="2"/>
  <c r="J291" i="2"/>
  <c r="J948" i="2"/>
  <c r="J393" i="2"/>
  <c r="J242" i="2"/>
  <c r="J292" i="2"/>
  <c r="J68" i="2"/>
  <c r="J217" i="2"/>
  <c r="J981" i="2"/>
  <c r="J253" i="2"/>
  <c r="J479" i="2"/>
  <c r="J385" i="2"/>
  <c r="J801" i="2"/>
  <c r="J193" i="2"/>
  <c r="J890" i="2"/>
  <c r="J596" i="2"/>
  <c r="J832" i="2"/>
  <c r="J423" i="2"/>
  <c r="J424" i="2"/>
  <c r="J466" i="2"/>
  <c r="J690" i="2"/>
  <c r="J573" i="2"/>
  <c r="J581" i="2"/>
  <c r="J353" i="2"/>
  <c r="J203" i="2"/>
  <c r="J945" i="2"/>
  <c r="J283" i="2"/>
  <c r="J231" i="2"/>
  <c r="J671" i="2"/>
  <c r="J22" i="2"/>
  <c r="J365" i="2"/>
  <c r="J887" i="2"/>
  <c r="J497" i="2"/>
  <c r="J269" i="2"/>
  <c r="J328" i="2"/>
  <c r="J354" i="2"/>
  <c r="J471" i="2"/>
  <c r="J232" i="2"/>
  <c r="J145" i="2"/>
  <c r="J498" i="2"/>
  <c r="J116" i="2"/>
  <c r="J523" i="2"/>
  <c r="J582" i="2"/>
  <c r="J270" i="2"/>
  <c r="J907" i="2"/>
  <c r="J698" i="2"/>
  <c r="J802" i="2"/>
  <c r="J456" i="2"/>
  <c r="J743" i="2"/>
  <c r="J757" i="2"/>
  <c r="J620" i="2"/>
  <c r="J405" i="2"/>
  <c r="J842" i="2"/>
  <c r="J57" i="2"/>
  <c r="J691" i="2"/>
  <c r="J758" i="2"/>
  <c r="J983" i="2"/>
  <c r="J603" i="2"/>
  <c r="J233" i="2"/>
  <c r="J263" i="2"/>
  <c r="J70" i="2"/>
  <c r="J897" i="2"/>
  <c r="J135" i="2"/>
  <c r="J999" i="2"/>
  <c r="J499" i="2"/>
  <c r="J197" i="2"/>
  <c r="J124" i="2"/>
  <c r="J611" i="2"/>
  <c r="J900" i="2"/>
  <c r="J406" i="2"/>
  <c r="J920" i="2"/>
  <c r="J15" i="2"/>
  <c r="J480" i="2"/>
  <c r="J864" i="2"/>
  <c r="J813" i="2"/>
  <c r="J901" i="2"/>
  <c r="J510" i="2"/>
  <c r="J794" i="2"/>
  <c r="J339" i="2"/>
  <c r="J953" i="2"/>
  <c r="J723" i="2"/>
  <c r="J481" i="2"/>
  <c r="J641" i="2"/>
  <c r="J355" i="2"/>
  <c r="J583" i="2"/>
  <c r="J566" i="2"/>
  <c r="J204" i="2"/>
  <c r="J425" i="2"/>
  <c r="J149" i="2"/>
  <c r="J136" i="2"/>
  <c r="J597" i="2"/>
  <c r="J186" i="2"/>
  <c r="J538" i="2"/>
  <c r="J248" i="2"/>
  <c r="J823" i="2"/>
  <c r="J692" i="2"/>
  <c r="J434" i="2"/>
  <c r="J891" i="2"/>
  <c r="J908" i="2"/>
  <c r="J334" i="2"/>
  <c r="J435" i="2"/>
  <c r="J130" i="2"/>
  <c r="J574" i="2"/>
  <c r="J472" i="2"/>
  <c r="J631" i="2"/>
  <c r="J766" i="2"/>
  <c r="J956" i="2"/>
  <c r="J278" i="2"/>
  <c r="J966" i="2"/>
  <c r="J125" i="2"/>
  <c r="J826" i="2"/>
  <c r="J482" i="2"/>
  <c r="J209" i="2"/>
  <c r="J759" i="2"/>
  <c r="J930" i="2"/>
  <c r="J642" i="2"/>
  <c r="J150" i="2"/>
  <c r="J181" i="2"/>
  <c r="J271" i="2"/>
  <c r="J946" i="2"/>
  <c r="J850" i="2"/>
  <c r="J843" i="2"/>
  <c r="J575" i="2"/>
  <c r="J654" i="2"/>
  <c r="J672" i="2"/>
  <c r="J234" i="2"/>
  <c r="J914" i="2"/>
  <c r="J319" i="2"/>
  <c r="J182" i="2"/>
  <c r="J131" i="2"/>
  <c r="J340" i="2"/>
  <c r="J272" i="2"/>
  <c r="J50" i="2"/>
  <c r="J27" i="2"/>
  <c r="J511" i="2"/>
  <c r="J528" i="2"/>
  <c r="J132" i="2"/>
  <c r="J298" i="2"/>
  <c r="J915" i="2"/>
  <c r="J545" i="2"/>
  <c r="J744" i="2"/>
  <c r="J218" i="2"/>
  <c r="J284" i="2"/>
  <c r="J655" i="2"/>
  <c r="J963" i="2"/>
  <c r="J567" i="2"/>
  <c r="J814" i="2"/>
  <c r="J785" i="2"/>
  <c r="J937" i="2"/>
  <c r="J386" i="2"/>
  <c r="J815" i="2"/>
  <c r="J984" i="2"/>
  <c r="J473" i="2"/>
  <c r="J387" i="2"/>
  <c r="J643" i="2"/>
  <c r="J644" i="2"/>
  <c r="J931" i="2"/>
  <c r="J62" i="2"/>
  <c r="J474" i="2"/>
  <c r="J63" i="2"/>
  <c r="J18" i="2"/>
  <c r="J512" i="2"/>
  <c r="J394" i="2"/>
  <c r="J388" i="2"/>
  <c r="J457" i="2"/>
  <c r="J707" i="2"/>
  <c r="J557" i="2"/>
  <c r="J970" i="2"/>
  <c r="J661" i="2"/>
  <c r="J85" i="2"/>
  <c r="J59" i="2"/>
  <c r="J989" i="2"/>
  <c r="J546" i="2"/>
  <c r="J157" i="2"/>
  <c r="J475" i="2"/>
  <c r="J604" i="2"/>
  <c r="J972" i="2"/>
  <c r="J229" i="2"/>
  <c r="J293" i="2"/>
  <c r="J693" i="2"/>
  <c r="J101" i="2"/>
  <c r="J187" i="2"/>
  <c r="J916" i="2"/>
  <c r="J175" i="2"/>
  <c r="J306" i="2"/>
  <c r="J959" i="2"/>
  <c r="J776" i="2"/>
  <c r="J584" i="2"/>
  <c r="J708" i="2"/>
  <c r="J662" i="2"/>
  <c r="J612" i="2"/>
  <c r="J458" i="2"/>
  <c r="J219" i="2"/>
  <c r="J311" i="2"/>
  <c r="J285" i="2"/>
  <c r="J220" i="2"/>
  <c r="J312" i="2"/>
  <c r="J450" i="2"/>
  <c r="J663" i="2"/>
  <c r="J987" i="2"/>
  <c r="J524" i="2"/>
  <c r="J4" i="2"/>
  <c r="J137" i="2"/>
  <c r="J632" i="2"/>
  <c r="J709" i="2"/>
  <c r="J273" i="2"/>
  <c r="J8" i="2"/>
  <c r="J760" i="2"/>
  <c r="J210" i="2"/>
  <c r="J926" i="2"/>
  <c r="J539" i="2"/>
  <c r="J868" i="2"/>
  <c r="J119" i="2"/>
  <c r="J341" i="2"/>
  <c r="J335" i="2"/>
  <c r="J377" i="2"/>
  <c r="J313" i="2"/>
  <c r="J964" i="2"/>
  <c r="J605" i="2"/>
  <c r="J947" i="2"/>
  <c r="J451" i="2"/>
  <c r="J33" i="2"/>
  <c r="J858" i="2"/>
  <c r="J912" i="2"/>
  <c r="J513" i="2"/>
  <c r="J107" i="2"/>
  <c r="J299" i="2"/>
  <c r="J170" i="2"/>
  <c r="J978" i="2"/>
  <c r="J300" i="2"/>
  <c r="J995" i="2"/>
  <c r="J467" i="2"/>
  <c r="J138" i="2"/>
  <c r="J120" i="2"/>
  <c r="J108" i="2"/>
  <c r="J459" i="2"/>
  <c r="J483" i="2"/>
  <c r="J650" i="2"/>
  <c r="J851" i="2"/>
  <c r="J852" i="2"/>
  <c r="J540" i="2"/>
  <c r="J710" i="2"/>
  <c r="J913" i="2"/>
  <c r="J777" i="2"/>
  <c r="J664" i="2"/>
  <c r="J78" i="2"/>
  <c r="J875" i="2"/>
  <c r="J745" i="2"/>
  <c r="J750" i="2"/>
  <c r="J407" i="2"/>
  <c r="J699" i="2"/>
  <c r="J395" i="2"/>
  <c r="J396" i="2"/>
  <c r="J158" i="2"/>
  <c r="J719" i="2"/>
  <c r="J164" i="2"/>
  <c r="J673" i="2"/>
  <c r="J949" i="2"/>
  <c r="J541" i="2"/>
  <c r="J731" i="2"/>
  <c r="J414" i="2"/>
  <c r="J529" i="2"/>
  <c r="J415" i="2"/>
  <c r="J171" i="2"/>
  <c r="J921" i="2"/>
  <c r="J674" i="2"/>
  <c r="J468" i="2"/>
  <c r="J408" i="2"/>
  <c r="J460" i="2"/>
  <c r="J514" i="2"/>
  <c r="J225" i="2"/>
  <c r="J525" i="2"/>
  <c r="J859" i="2"/>
  <c r="J530" i="2"/>
  <c r="J724" i="2"/>
  <c r="J547" i="2"/>
  <c r="J160" i="2"/>
  <c r="J665" i="2"/>
  <c r="J751" i="2"/>
  <c r="J675" i="2"/>
  <c r="J294" i="2"/>
  <c r="J700" i="2"/>
  <c r="J711" i="2"/>
  <c r="J761" i="2"/>
  <c r="J320" i="2"/>
  <c r="J576" i="2"/>
  <c r="J348" i="2"/>
  <c r="J230" i="2"/>
  <c r="J21" i="2"/>
  <c r="J416" i="2"/>
  <c r="J992" i="2"/>
  <c r="J712" i="2"/>
  <c r="J713" i="2"/>
  <c r="J139" i="2"/>
  <c r="J938" i="2"/>
  <c r="J140" i="2"/>
  <c r="J701" i="2"/>
  <c r="J651" i="2"/>
  <c r="J702" i="2"/>
  <c r="J211" i="2"/>
  <c r="J882" i="2"/>
  <c r="J844" i="2"/>
  <c r="J461" i="2"/>
  <c r="J585" i="2"/>
  <c r="J366" i="2"/>
  <c r="J820" i="2"/>
  <c r="J417" i="2"/>
  <c r="J902" i="2"/>
  <c r="J397" i="2"/>
  <c r="J336" i="2"/>
  <c r="J444" i="2"/>
  <c r="J25" i="2"/>
  <c r="J274" i="2"/>
  <c r="J888" i="2"/>
  <c r="J172" i="2"/>
  <c r="J941" i="2"/>
  <c r="J865" i="2"/>
  <c r="J997" i="2"/>
  <c r="J836" i="2"/>
  <c r="J484" i="2"/>
  <c r="J898" i="2"/>
  <c r="J666" i="2"/>
  <c r="J988" i="2"/>
  <c r="J694" i="2"/>
  <c r="J827" i="2"/>
  <c r="J485" i="2"/>
  <c r="J243" i="2"/>
  <c r="J876" i="2"/>
  <c r="J71" i="2"/>
  <c r="J48" i="2"/>
  <c r="J695" i="2"/>
  <c r="J613" i="2"/>
  <c r="J264" i="2"/>
  <c r="J860" i="2"/>
  <c r="J42" i="2"/>
  <c r="J681" i="2"/>
  <c r="J79" i="2"/>
  <c r="J951" i="2"/>
  <c r="J91" i="2"/>
  <c r="J212" i="2"/>
  <c r="J314" i="2"/>
  <c r="J889" i="2"/>
  <c r="J378" i="2"/>
  <c r="J682" i="2"/>
  <c r="J265" i="2"/>
  <c r="J683" i="2"/>
  <c r="J109" i="2"/>
  <c r="J845" i="2"/>
  <c r="J486" i="2"/>
  <c r="J151" i="2"/>
  <c r="J684" i="2"/>
  <c r="J598" i="2"/>
  <c r="J462" i="2"/>
  <c r="J221" i="2"/>
  <c r="J899" i="2"/>
  <c r="J531" i="2"/>
  <c r="J500" i="2"/>
  <c r="J732" i="2"/>
  <c r="J877" i="2"/>
  <c r="J198" i="2"/>
  <c r="J954" i="2"/>
  <c r="J194" i="2"/>
  <c r="J548" i="2"/>
  <c r="J266" i="2"/>
  <c r="J667" i="2"/>
  <c r="J356" i="2"/>
  <c r="J165" i="2"/>
  <c r="J833" i="2"/>
  <c r="J342" i="2"/>
  <c r="J307" i="2"/>
  <c r="J621" i="2"/>
  <c r="J549" i="2"/>
  <c r="J436" i="2"/>
  <c r="J586" i="2"/>
  <c r="J254" i="2"/>
  <c r="J104" i="2"/>
  <c r="J656" i="2"/>
  <c r="J367" i="2"/>
  <c r="J633" i="2"/>
  <c r="J368" i="2"/>
  <c r="J176" i="2"/>
  <c r="J532" i="2"/>
  <c r="J35" i="2"/>
  <c r="J752" i="2"/>
  <c r="J917" i="2"/>
  <c r="J161" i="2"/>
  <c r="J869" i="2"/>
  <c r="J824" i="2"/>
  <c r="J244" i="2"/>
  <c r="J870" i="2"/>
  <c r="J40" i="2"/>
  <c r="J714" i="2"/>
  <c r="J10" i="2"/>
  <c r="J398" i="2"/>
  <c r="J279" i="2"/>
  <c r="J226" i="2"/>
  <c r="J418" i="2"/>
  <c r="J542" i="2"/>
  <c r="J866" i="2"/>
  <c r="J86" i="2"/>
  <c r="J437" i="2"/>
  <c r="J550" i="2"/>
  <c r="J767" i="2"/>
  <c r="J315" i="2"/>
  <c r="J188" i="2"/>
  <c r="J533" i="2"/>
  <c r="J720" i="2"/>
  <c r="J967" i="2"/>
  <c r="J883" i="2"/>
  <c r="J703" i="2"/>
  <c r="J725" i="2"/>
  <c r="J577" i="2"/>
  <c r="J39" i="2"/>
  <c r="J762" i="2"/>
  <c r="J189" i="2"/>
  <c r="J28" i="2"/>
  <c r="J73" i="2"/>
  <c r="J329" i="2"/>
  <c r="J846" i="2"/>
  <c r="J768" i="2"/>
  <c r="J942" i="2"/>
  <c r="J213" i="2"/>
  <c r="J526" i="2"/>
  <c r="J452" i="2"/>
  <c r="J892" i="2"/>
  <c r="J943" i="2"/>
  <c r="J918" i="2"/>
  <c r="J121" i="2"/>
  <c r="J807" i="2"/>
  <c r="J159" i="2"/>
  <c r="J343" i="2"/>
  <c r="J399" i="2"/>
  <c r="J551" i="2"/>
  <c r="J778" i="2"/>
  <c r="J255" i="2"/>
  <c r="J280" i="2"/>
  <c r="J861" i="2"/>
  <c r="J308" i="2"/>
  <c r="J853" i="2"/>
  <c r="J126" i="2"/>
  <c r="J438" i="2"/>
  <c r="J400" i="2"/>
  <c r="J779" i="2"/>
  <c r="J214" i="2"/>
  <c r="J606" i="2"/>
  <c r="J60" i="2"/>
  <c r="J245" i="2"/>
  <c r="J17" i="2"/>
  <c r="J704" i="2"/>
  <c r="J222" i="2"/>
  <c r="J909" i="2"/>
  <c r="J919" i="2"/>
  <c r="J215" i="2"/>
  <c r="J445" i="2"/>
  <c r="J676" i="2"/>
  <c r="J501" i="2"/>
  <c r="L501" i="2" s="1"/>
  <c r="J379" i="2"/>
  <c r="L379" i="2" s="1"/>
  <c r="J932" i="2"/>
  <c r="L932" i="2" s="1"/>
  <c r="J552" i="2"/>
  <c r="L552" i="2" s="1"/>
  <c r="J301" i="2"/>
  <c r="L301" i="2" s="1"/>
  <c r="J986" i="2"/>
  <c r="L986" i="2" s="1"/>
  <c r="J534" i="2"/>
  <c r="L534" i="2" s="1"/>
  <c r="J685" i="2"/>
  <c r="L685" i="2" s="1"/>
  <c r="J97" i="2"/>
  <c r="L97" i="2" s="1"/>
  <c r="J746" i="2"/>
  <c r="L746" i="2" s="1"/>
  <c r="J216" i="2"/>
  <c r="L216" i="2" s="1"/>
  <c r="J884" i="2"/>
  <c r="L884" i="2" s="1"/>
  <c r="J31" i="2"/>
  <c r="L31" i="2" s="1"/>
  <c r="J657" i="2"/>
  <c r="L657" i="2" s="1"/>
  <c r="J975" i="2"/>
  <c r="L975" i="2" s="1"/>
  <c r="J878" i="2"/>
  <c r="L878" i="2" s="1"/>
  <c r="J190" i="2"/>
  <c r="L190" i="2" s="1"/>
  <c r="J80" i="2"/>
  <c r="L80" i="2" s="1"/>
  <c r="J677" i="2"/>
  <c r="L677" i="2" s="1"/>
  <c r="J117" i="2"/>
  <c r="L117" i="2" s="1"/>
  <c r="J191" i="2"/>
  <c r="L191" i="2" s="1"/>
  <c r="J622" i="2"/>
  <c r="L622" i="2" s="1"/>
  <c r="J828" i="2"/>
  <c r="L828" i="2" s="1"/>
  <c r="J922" i="2"/>
  <c r="L922" i="2" s="1"/>
  <c r="J199" i="2"/>
  <c r="L199" i="2" s="1"/>
  <c r="J553" i="2"/>
  <c r="L553" i="2" s="1"/>
  <c r="J847" i="2"/>
  <c r="L847" i="2" s="1"/>
  <c r="J235" i="2"/>
  <c r="L235" i="2" s="1"/>
  <c r="J558" i="2"/>
  <c r="L558" i="2" s="1"/>
  <c r="J587" i="2"/>
  <c r="L587" i="2" s="1"/>
  <c r="J389" i="2"/>
  <c r="L389" i="2" s="1"/>
  <c r="J559" i="2"/>
  <c r="L559" i="2" s="1"/>
  <c r="J535" i="2"/>
  <c r="L535" i="2" s="1"/>
  <c r="J87" i="2"/>
  <c r="L87" i="2" s="1"/>
  <c r="J146" i="2"/>
  <c r="L146" i="2" s="1"/>
  <c r="J623" i="2"/>
  <c r="L623" i="2" s="1"/>
  <c r="J982" i="2"/>
  <c r="L982" i="2" s="1"/>
  <c r="J330" i="2"/>
  <c r="L330" i="2" s="1"/>
  <c r="J536" i="2"/>
  <c r="L536" i="2" s="1"/>
  <c r="J77" i="2"/>
  <c r="L77" i="2" s="1"/>
  <c r="J923" i="2"/>
  <c r="L923" i="2" s="1"/>
  <c r="J924" i="2"/>
  <c r="L924" i="2" s="1"/>
  <c r="J360" i="2"/>
  <c r="L360" i="2" s="1"/>
  <c r="J786" i="2"/>
  <c r="L786" i="2" s="1"/>
  <c r="J361" i="2"/>
  <c r="L361" i="2" s="1"/>
  <c r="J19" i="2"/>
  <c r="L19" i="2" s="1"/>
  <c r="J12" i="2"/>
  <c r="L12" i="2" s="1"/>
  <c r="J645" i="2"/>
  <c r="L645" i="2" s="1"/>
  <c r="J321" i="2"/>
  <c r="L321" i="2" s="1"/>
  <c r="J686" i="2"/>
  <c r="L686" i="2" s="1"/>
  <c r="J903" i="2"/>
  <c r="L903" i="2" s="1"/>
  <c r="J687" i="2"/>
  <c r="L687" i="2" s="1"/>
  <c r="J37" i="2"/>
  <c r="L37" i="2" s="1"/>
  <c r="J993" i="2"/>
  <c r="L993" i="2" s="1"/>
  <c r="J769" i="2"/>
  <c r="L769" i="2" s="1"/>
  <c r="J821" i="2"/>
  <c r="L821" i="2" s="1"/>
  <c r="J147" i="2"/>
  <c r="L147" i="2" s="1"/>
  <c r="J885" i="2"/>
  <c r="L885" i="2" s="1"/>
  <c r="J588" i="2"/>
  <c r="L588" i="2" s="1"/>
  <c r="J487" i="2"/>
  <c r="L487" i="2" s="1"/>
  <c r="J72" i="2"/>
  <c r="L72" i="2" s="1"/>
  <c r="J770" i="2"/>
  <c r="L770" i="2" s="1"/>
  <c r="J286" i="2"/>
  <c r="L286" i="2" s="1"/>
  <c r="J256" i="2"/>
  <c r="L256" i="2" s="1"/>
  <c r="J177" i="2"/>
  <c r="L177" i="2" s="1"/>
  <c r="J488" i="2"/>
  <c r="L488" i="2" s="1"/>
  <c r="J1000" i="2"/>
  <c r="L1000" i="2" s="1"/>
  <c r="J152" i="2"/>
  <c r="L152" i="2" s="1"/>
  <c r="J589" i="2"/>
  <c r="L589" i="2" s="1"/>
  <c r="J971" i="2"/>
  <c r="L971" i="2" s="1"/>
  <c r="J515" i="2"/>
  <c r="L515" i="2" s="1"/>
  <c r="J54" i="2"/>
  <c r="L54" i="2" s="1"/>
  <c r="J489" i="2"/>
  <c r="L489" i="2" s="1"/>
  <c r="J322" i="2"/>
  <c r="L322" i="2" s="1"/>
  <c r="J578" i="2"/>
  <c r="L578" i="2" s="1"/>
  <c r="J439" i="2"/>
  <c r="L439" i="2" s="1"/>
  <c r="J236" i="2"/>
  <c r="L236" i="2" s="1"/>
  <c r="J426" i="2"/>
  <c r="L426" i="2" s="1"/>
  <c r="J51" i="2"/>
  <c r="L51" i="2" s="1"/>
  <c r="J141" i="2"/>
  <c r="L141" i="2" s="1"/>
  <c r="J560" i="2"/>
  <c r="L560" i="2" s="1"/>
  <c r="J302" i="2"/>
  <c r="L302" i="2" s="1"/>
  <c r="J502" i="2"/>
  <c r="L502" i="2" s="1"/>
  <c r="J634" i="2"/>
  <c r="L634" i="2" s="1"/>
  <c r="J965" i="2"/>
  <c r="L965" i="2" s="1"/>
  <c r="J369" i="2"/>
  <c r="L369" i="2" s="1"/>
  <c r="J275" i="2"/>
  <c r="L275" i="2" s="1"/>
  <c r="J237" i="2"/>
  <c r="L237" i="2" s="1"/>
  <c r="J871" i="2"/>
  <c r="L871" i="2" s="1"/>
  <c r="J590" i="2"/>
  <c r="L590" i="2" s="1"/>
  <c r="J554" i="2"/>
  <c r="L554" i="2" s="1"/>
  <c r="J933" i="2"/>
  <c r="L933" i="2" s="1"/>
  <c r="J561" i="2"/>
  <c r="L561" i="2" s="1"/>
  <c r="J323" i="2"/>
  <c r="L323" i="2" s="1"/>
  <c r="J344" i="2"/>
  <c r="L344" i="2" s="1"/>
  <c r="J246" i="2"/>
  <c r="L246" i="2" s="1"/>
  <c r="J829" i="2"/>
  <c r="L829" i="2" s="1"/>
  <c r="J205" i="2"/>
  <c r="L205" i="2" s="1"/>
  <c r="J118" i="2"/>
  <c r="L118" i="2" s="1"/>
  <c r="J503" i="2"/>
  <c r="L503" i="2" s="1"/>
  <c r="J795" i="2"/>
  <c r="L795" i="2" s="1"/>
  <c r="J771" i="2"/>
  <c r="L771" i="2" s="1"/>
  <c r="J646" i="2"/>
  <c r="L646" i="2" s="1"/>
  <c r="J192" i="2"/>
  <c r="L192" i="2" s="1"/>
  <c r="J453" i="2"/>
  <c r="L453" i="2" s="1"/>
  <c r="J370" i="2"/>
  <c r="L370" i="2" s="1"/>
  <c r="J879" i="2"/>
  <c r="L879" i="2" s="1"/>
  <c r="J990" i="2"/>
  <c r="L990" i="2" s="1"/>
  <c r="J206" i="2"/>
  <c r="L206" i="2" s="1"/>
  <c r="J705" i="2"/>
  <c r="L705" i="2" s="1"/>
  <c r="J281" i="2"/>
  <c r="L281" i="2" s="1"/>
  <c r="J142" i="2"/>
  <c r="L142" i="2" s="1"/>
  <c r="J1001" i="2"/>
  <c r="L1001" i="2" s="1"/>
  <c r="J607" i="2"/>
  <c r="L607" i="2" s="1"/>
  <c r="J345" i="2"/>
  <c r="L345" i="2" s="1"/>
  <c r="J490" i="2"/>
  <c r="L490" i="2" s="1"/>
  <c r="J440" i="2"/>
  <c r="L440" i="2" s="1"/>
  <c r="J337" i="2"/>
  <c r="L337" i="2" s="1"/>
  <c r="J562" i="2"/>
  <c r="L562" i="2" s="1"/>
  <c r="J803" i="2"/>
  <c r="L803" i="2" s="1"/>
  <c r="J985" i="2"/>
  <c r="L985" i="2" s="1"/>
  <c r="J635" i="2"/>
  <c r="L635" i="2" s="1"/>
  <c r="J183" i="2"/>
  <c r="L183" i="2" s="1"/>
  <c r="J257" i="2"/>
  <c r="L257" i="2" s="1"/>
  <c r="J324" i="2"/>
  <c r="L324" i="2" s="1"/>
  <c r="J668" i="2"/>
  <c r="L668" i="2" s="1"/>
  <c r="J309" i="2"/>
  <c r="L309" i="2" s="1"/>
  <c r="J331" i="2"/>
  <c r="L331" i="2" s="1"/>
  <c r="J81" i="2"/>
  <c r="L81" i="2" s="1"/>
  <c r="J974" i="2"/>
  <c r="L974" i="2" s="1"/>
  <c r="J3" i="2"/>
  <c r="L3" i="2" s="1"/>
  <c r="J787" i="2"/>
  <c r="L787" i="2" s="1"/>
  <c r="J867" i="2"/>
  <c r="L867" i="2" s="1"/>
  <c r="J893" i="2"/>
  <c r="L893" i="2" s="1"/>
  <c r="J733" i="2"/>
  <c r="L733" i="2" s="1"/>
  <c r="J178" i="2"/>
  <c r="L178" i="2" s="1"/>
  <c r="J110" i="2"/>
  <c r="L110" i="2" s="1"/>
  <c r="J747" i="2"/>
  <c r="L747" i="2" s="1"/>
  <c r="J55" i="2"/>
  <c r="L55" i="2" s="1"/>
  <c r="J780" i="2"/>
  <c r="L780" i="2" s="1"/>
  <c r="J822" i="2"/>
  <c r="L822" i="2" s="1"/>
  <c r="J688" i="2"/>
  <c r="L688" i="2" s="1"/>
  <c r="J527" i="2"/>
  <c r="L527" i="2" s="1"/>
  <c r="J537" i="2"/>
  <c r="L537" i="2" s="1"/>
  <c r="J349" i="2"/>
  <c r="L349" i="2" s="1"/>
  <c r="J979" i="2"/>
  <c r="L979" i="2" s="1"/>
  <c r="J238" i="2"/>
  <c r="L238" i="2" s="1"/>
  <c r="J409" i="2"/>
  <c r="L409" i="2" s="1"/>
  <c r="J669" i="2"/>
  <c r="L669" i="2" s="1"/>
  <c r="J862" i="2"/>
  <c r="L862" i="2" s="1"/>
  <c r="J614" i="2"/>
  <c r="L614" i="2" s="1"/>
  <c r="I837" i="2"/>
  <c r="K837" i="2" s="1"/>
  <c r="I969" i="2"/>
  <c r="K969" i="2" s="1"/>
  <c r="I98" i="2"/>
  <c r="K98" i="2" s="1"/>
  <c r="I715" i="2"/>
  <c r="K715" i="2" s="1"/>
  <c r="I734" i="2"/>
  <c r="K734" i="2" s="1"/>
  <c r="I960" i="2"/>
  <c r="K960" i="2" s="1"/>
  <c r="I34" i="2"/>
  <c r="K34" i="2" s="1"/>
  <c r="I401" i="2"/>
  <c r="K401" i="2" s="1"/>
  <c r="I99" i="2"/>
  <c r="K99" i="2" s="1"/>
  <c r="I184" i="2"/>
  <c r="K184" i="2" s="1"/>
  <c r="I56" i="2"/>
  <c r="K56" i="2" s="1"/>
  <c r="I624" i="2"/>
  <c r="K624" i="2" s="1"/>
  <c r="I636" i="2"/>
  <c r="K636" i="2" s="1"/>
  <c r="I166" i="2"/>
  <c r="K166" i="2" s="1"/>
  <c r="I652" i="2"/>
  <c r="K652" i="2" s="1"/>
  <c r="I925" i="2"/>
  <c r="K925" i="2" s="1"/>
  <c r="I6" i="2"/>
  <c r="K6" i="2" s="1"/>
  <c r="I52" i="2"/>
  <c r="K52" i="2" s="1"/>
  <c r="I239" i="2"/>
  <c r="K239" i="2" s="1"/>
  <c r="I427" i="2"/>
  <c r="K427" i="2" s="1"/>
  <c r="I543" i="2"/>
  <c r="K543" i="2" s="1"/>
  <c r="I111" i="2"/>
  <c r="K111" i="2" s="1"/>
  <c r="I591" i="2"/>
  <c r="K591" i="2" s="1"/>
  <c r="I678" i="2"/>
  <c r="K678" i="2" s="1"/>
  <c r="I625" i="2"/>
  <c r="K625" i="2" s="1"/>
  <c r="I276" i="2"/>
  <c r="K276" i="2" s="1"/>
  <c r="I555" i="2"/>
  <c r="K555" i="2" s="1"/>
  <c r="I491" i="2"/>
  <c r="K491" i="2" s="1"/>
  <c r="I516" i="2"/>
  <c r="K516" i="2" s="1"/>
  <c r="I608" i="2"/>
  <c r="K608" i="2" s="1"/>
  <c r="I350" i="2"/>
  <c r="K350" i="2" s="1"/>
  <c r="I380" i="2"/>
  <c r="K380" i="2" s="1"/>
  <c r="I32" i="2"/>
  <c r="K32" i="2" s="1"/>
  <c r="I934" i="2"/>
  <c r="K934" i="2" s="1"/>
  <c r="I808" i="2"/>
  <c r="K808" i="2" s="1"/>
  <c r="I788" i="2"/>
  <c r="K788" i="2" s="1"/>
  <c r="I240" i="2"/>
  <c r="K240" i="2" s="1"/>
  <c r="I880" i="2"/>
  <c r="K880" i="2" s="1"/>
  <c r="I223" i="2"/>
  <c r="K223" i="2" s="1"/>
  <c r="I224" i="2"/>
  <c r="K224" i="2" s="1"/>
  <c r="I441" i="2"/>
  <c r="K441" i="2" s="1"/>
  <c r="I258" i="2"/>
  <c r="K258" i="2" s="1"/>
  <c r="I357" i="2"/>
  <c r="K357" i="2" s="1"/>
  <c r="I162" i="2"/>
  <c r="K162" i="2" s="1"/>
  <c r="I259" i="2"/>
  <c r="K259" i="2" s="1"/>
  <c r="I303" i="2"/>
  <c r="K303" i="2" s="1"/>
  <c r="I568" i="2"/>
  <c r="K568" i="2" s="1"/>
  <c r="I517" i="2"/>
  <c r="K517" i="2" s="1"/>
  <c r="I848" i="2"/>
  <c r="K848" i="2" s="1"/>
  <c r="I143" i="2"/>
  <c r="K143" i="2" s="1"/>
  <c r="I579" i="2"/>
  <c r="K579" i="2" s="1"/>
  <c r="I64" i="2"/>
  <c r="K64" i="2" s="1"/>
  <c r="I809" i="2"/>
  <c r="K809" i="2" s="1"/>
  <c r="I816" i="2"/>
  <c r="K816" i="2" s="1"/>
  <c r="I26" i="2"/>
  <c r="K26" i="2" s="1"/>
  <c r="I881" i="2"/>
  <c r="K881" i="2" s="1"/>
  <c r="I144" i="2"/>
  <c r="K144" i="2" s="1"/>
  <c r="I249" i="2"/>
  <c r="K249" i="2" s="1"/>
  <c r="I2" i="2"/>
  <c r="K2" i="2" s="1"/>
  <c r="I679" i="2"/>
  <c r="K679" i="2" s="1"/>
  <c r="I20" i="2"/>
  <c r="K20" i="2" s="1"/>
  <c r="I277" i="2"/>
  <c r="K277" i="2" s="1"/>
  <c r="I637" i="2"/>
  <c r="K637" i="2" s="1"/>
  <c r="I260" i="2"/>
  <c r="K260" i="2" s="1"/>
  <c r="I371" i="2"/>
  <c r="K371" i="2" s="1"/>
  <c r="I29" i="2"/>
  <c r="K29" i="2" s="1"/>
  <c r="I504" i="2"/>
  <c r="K504" i="2" s="1"/>
  <c r="I250" i="2"/>
  <c r="K250" i="2" s="1"/>
  <c r="I163" i="2"/>
  <c r="K163" i="2" s="1"/>
  <c r="I390" i="2"/>
  <c r="K390" i="2" s="1"/>
  <c r="I295" i="2"/>
  <c r="K295" i="2" s="1"/>
  <c r="I69" i="2"/>
  <c r="K69" i="2" s="1"/>
  <c r="I247" i="2"/>
  <c r="K247" i="2" s="1"/>
  <c r="I65" i="2"/>
  <c r="K65" i="2" s="1"/>
  <c r="I36" i="2"/>
  <c r="K36" i="2" s="1"/>
  <c r="I7" i="2"/>
  <c r="K7" i="2" s="1"/>
  <c r="I796" i="2"/>
  <c r="K796" i="2" s="1"/>
  <c r="I518" i="2"/>
  <c r="K518" i="2" s="1"/>
  <c r="I428" i="2"/>
  <c r="K428" i="2" s="1"/>
  <c r="I88" i="2"/>
  <c r="K88" i="2" s="1"/>
  <c r="I66" i="2"/>
  <c r="K66" i="2" s="1"/>
  <c r="I112" i="2"/>
  <c r="K112" i="2" s="1"/>
  <c r="I442" i="2"/>
  <c r="K442" i="2" s="1"/>
  <c r="I23" i="2"/>
  <c r="K23" i="2" s="1"/>
  <c r="I763" i="2"/>
  <c r="K763" i="2" s="1"/>
  <c r="I838" i="2"/>
  <c r="K838" i="2" s="1"/>
  <c r="I599" i="2"/>
  <c r="K599" i="2" s="1"/>
  <c r="I402" i="2"/>
  <c r="K402" i="2" s="1"/>
  <c r="I810" i="2"/>
  <c r="K810" i="2" s="1"/>
  <c r="I556" i="2"/>
  <c r="K556" i="2" s="1"/>
  <c r="I16" i="2"/>
  <c r="K16" i="2" s="1"/>
  <c r="I647" i="2"/>
  <c r="K647" i="2" s="1"/>
  <c r="I61" i="2"/>
  <c r="K61" i="2" s="1"/>
  <c r="I894" i="2"/>
  <c r="K894" i="2" s="1"/>
  <c r="I811" i="2"/>
  <c r="K811" i="2" s="1"/>
  <c r="I381" i="2"/>
  <c r="K381" i="2" s="1"/>
  <c r="I492" i="2"/>
  <c r="K492" i="2" s="1"/>
  <c r="I338" i="2"/>
  <c r="K338" i="2" s="1"/>
  <c r="I391" i="2"/>
  <c r="K391" i="2" s="1"/>
  <c r="I569" i="2"/>
  <c r="K569" i="2" s="1"/>
  <c r="I600" i="2"/>
  <c r="K600" i="2" s="1"/>
  <c r="I929" i="2"/>
  <c r="K929" i="2" s="1"/>
  <c r="I113" i="2"/>
  <c r="K113" i="2" s="1"/>
  <c r="I957" i="2"/>
  <c r="K957" i="2" s="1"/>
  <c r="I419" i="2"/>
  <c r="K419" i="2" s="1"/>
  <c r="I980" i="2"/>
  <c r="K980" i="2" s="1"/>
  <c r="I382" i="2"/>
  <c r="K382" i="2" s="1"/>
  <c r="I429" i="2"/>
  <c r="K429" i="2" s="1"/>
  <c r="I505" i="2"/>
  <c r="K505" i="2" s="1"/>
  <c r="I927" i="2"/>
  <c r="K927" i="2" s="1"/>
  <c r="I195" i="2"/>
  <c r="K195" i="2" s="1"/>
  <c r="I127" i="2"/>
  <c r="K127" i="2" s="1"/>
  <c r="I179" i="2"/>
  <c r="K179" i="2" s="1"/>
  <c r="I998" i="2"/>
  <c r="K998" i="2" s="1"/>
  <c r="I764" i="2"/>
  <c r="K764" i="2" s="1"/>
  <c r="I817" i="2"/>
  <c r="K817" i="2" s="1"/>
  <c r="I797" i="2"/>
  <c r="K797" i="2" s="1"/>
  <c r="I251" i="2"/>
  <c r="K251" i="2" s="1"/>
  <c r="I351" i="2"/>
  <c r="K351" i="2" s="1"/>
  <c r="I910" i="2"/>
  <c r="K910" i="2" s="1"/>
  <c r="I955" i="2"/>
  <c r="K955" i="2" s="1"/>
  <c r="I958" i="2"/>
  <c r="K958" i="2" s="1"/>
  <c r="I261" i="2"/>
  <c r="K261" i="2" s="1"/>
  <c r="I772" i="2"/>
  <c r="K772" i="2" s="1"/>
  <c r="I944" i="2"/>
  <c r="K944" i="2" s="1"/>
  <c r="I519" i="2"/>
  <c r="K519" i="2" s="1"/>
  <c r="I601" i="2"/>
  <c r="I789" i="2"/>
  <c r="K789" i="2" s="1"/>
  <c r="I114" i="2"/>
  <c r="K114" i="2" s="1"/>
  <c r="I886" i="2"/>
  <c r="K886" i="2" s="1"/>
  <c r="I43" i="2"/>
  <c r="K43" i="2" s="1"/>
  <c r="I726" i="2"/>
  <c r="K726" i="2" s="1"/>
  <c r="I804" i="2"/>
  <c r="K804" i="2" s="1"/>
  <c r="I706" i="2"/>
  <c r="K706" i="2" s="1"/>
  <c r="I167" i="2"/>
  <c r="K167" i="2" s="1"/>
  <c r="I89" i="2"/>
  <c r="K89" i="2" s="1"/>
  <c r="I296" i="2"/>
  <c r="K296" i="2" s="1"/>
  <c r="I372" i="2"/>
  <c r="K372" i="2" s="1"/>
  <c r="I454" i="2"/>
  <c r="K454" i="2" s="1"/>
  <c r="I626" i="2"/>
  <c r="K626" i="2" s="1"/>
  <c r="I325" i="2"/>
  <c r="K325" i="2" s="1"/>
  <c r="I115" i="2"/>
  <c r="K115" i="2" s="1"/>
  <c r="I92" i="2"/>
  <c r="K92" i="2" s="1"/>
  <c r="I798" i="2"/>
  <c r="K798" i="2" s="1"/>
  <c r="I14" i="2"/>
  <c r="K14" i="2" s="1"/>
  <c r="I839" i="2"/>
  <c r="K839" i="2" s="1"/>
  <c r="I520" i="2"/>
  <c r="K520" i="2" s="1"/>
  <c r="I670" i="2"/>
  <c r="K670" i="2" s="1"/>
  <c r="I991" i="2"/>
  <c r="K991" i="2" s="1"/>
  <c r="I430" i="2"/>
  <c r="K430" i="2" s="1"/>
  <c r="I563" i="2"/>
  <c r="K563" i="2" s="1"/>
  <c r="I403" i="2"/>
  <c r="K403" i="2" s="1"/>
  <c r="I105" i="2"/>
  <c r="K105" i="2" s="1"/>
  <c r="I358" i="2"/>
  <c r="K358" i="2" s="1"/>
  <c r="I840" i="2"/>
  <c r="K840" i="2" s="1"/>
  <c r="I615" i="2"/>
  <c r="K615" i="2" s="1"/>
  <c r="I287" i="2"/>
  <c r="K287" i="2" s="1"/>
  <c r="I753" i="2"/>
  <c r="K753" i="2" s="1"/>
  <c r="I373" i="2"/>
  <c r="K373" i="2" s="1"/>
  <c r="I754" i="2"/>
  <c r="K754" i="2" s="1"/>
  <c r="I849" i="2"/>
  <c r="K849" i="2" s="1"/>
  <c r="I128" i="2"/>
  <c r="K128" i="2" s="1"/>
  <c r="I129" i="2"/>
  <c r="K129" i="2" s="1"/>
  <c r="I928" i="2"/>
  <c r="K928" i="2" s="1"/>
  <c r="I994" i="2"/>
  <c r="K994" i="2" s="1"/>
  <c r="I133" i="2"/>
  <c r="K133" i="2" s="1"/>
  <c r="I564" i="2"/>
  <c r="K564" i="2" s="1"/>
  <c r="I716" i="2"/>
  <c r="K716" i="2" s="1"/>
  <c r="I565" i="2"/>
  <c r="K565" i="2" s="1"/>
  <c r="I627" i="2"/>
  <c r="K627" i="2" s="1"/>
  <c r="I911" i="2"/>
  <c r="K911" i="2" s="1"/>
  <c r="I834" i="2"/>
  <c r="K834" i="2" s="1"/>
  <c r="I446" i="2"/>
  <c r="K446" i="2" s="1"/>
  <c r="I100" i="2"/>
  <c r="K100" i="2" s="1"/>
  <c r="I904" i="2"/>
  <c r="K904" i="2" s="1"/>
  <c r="I153" i="2"/>
  <c r="K153" i="2" s="1"/>
  <c r="I680" i="2"/>
  <c r="K680" i="2" s="1"/>
  <c r="I316" i="2"/>
  <c r="K316" i="2" s="1"/>
  <c r="I996" i="2"/>
  <c r="K996" i="2" s="1"/>
  <c r="I493" i="2"/>
  <c r="K493" i="2" s="1"/>
  <c r="I262" i="2"/>
  <c r="K262" i="2" s="1"/>
  <c r="I93" i="2"/>
  <c r="K93" i="2" s="1"/>
  <c r="I476" i="2"/>
  <c r="K476" i="2" s="1"/>
  <c r="I90" i="2"/>
  <c r="K90" i="2" s="1"/>
  <c r="I420" i="2"/>
  <c r="K420" i="2" s="1"/>
  <c r="I648" i="2"/>
  <c r="K648" i="2" s="1"/>
  <c r="I410" i="2"/>
  <c r="K410" i="2" s="1"/>
  <c r="I82" i="2"/>
  <c r="K82" i="2" s="1"/>
  <c r="I872" i="2"/>
  <c r="K872" i="2" s="1"/>
  <c r="I447" i="2"/>
  <c r="K447" i="2" s="1"/>
  <c r="I790" i="2"/>
  <c r="K790" i="2" s="1"/>
  <c r="I374" i="2"/>
  <c r="K374" i="2" s="1"/>
  <c r="I455" i="2"/>
  <c r="K455" i="2" s="1"/>
  <c r="I791" i="2"/>
  <c r="K791" i="2" s="1"/>
  <c r="I207" i="2"/>
  <c r="K207" i="2" s="1"/>
  <c r="I383" i="2"/>
  <c r="K383" i="2" s="1"/>
  <c r="I173" i="2"/>
  <c r="K173" i="2" s="1"/>
  <c r="I122" i="2"/>
  <c r="K122" i="2" s="1"/>
  <c r="I748" i="2"/>
  <c r="K748" i="2" s="1"/>
  <c r="I781" i="2"/>
  <c r="K781" i="2" s="1"/>
  <c r="I658" i="2"/>
  <c r="K658" i="2" s="1"/>
  <c r="I592" i="2"/>
  <c r="K592" i="2" s="1"/>
  <c r="I392" i="2"/>
  <c r="K392" i="2" s="1"/>
  <c r="I74" i="2"/>
  <c r="K74" i="2" s="1"/>
  <c r="I659" i="2"/>
  <c r="K659" i="2" s="1"/>
  <c r="I506" i="2"/>
  <c r="K506" i="2" s="1"/>
  <c r="I782" i="2"/>
  <c r="K782" i="2" s="1"/>
  <c r="I727" i="2"/>
  <c r="K727" i="2" s="1"/>
  <c r="I326" i="2"/>
  <c r="K326" i="2" s="1"/>
  <c r="I792" i="2"/>
  <c r="K792" i="2" s="1"/>
  <c r="I11" i="2"/>
  <c r="K11" i="2" s="1"/>
  <c r="I185" i="2"/>
  <c r="K185" i="2" s="1"/>
  <c r="I200" i="2"/>
  <c r="K200" i="2" s="1"/>
  <c r="I905" i="2"/>
  <c r="K905" i="2" s="1"/>
  <c r="I818" i="2"/>
  <c r="K818" i="2" s="1"/>
  <c r="I895" i="2"/>
  <c r="K895" i="2" s="1"/>
  <c r="I24" i="2"/>
  <c r="K24" i="2" s="1"/>
  <c r="I570" i="2"/>
  <c r="K570" i="2" s="1"/>
  <c r="I241" i="2"/>
  <c r="K241" i="2" s="1"/>
  <c r="I431" i="2"/>
  <c r="K431" i="2" s="1"/>
  <c r="I830" i="2"/>
  <c r="K830" i="2" s="1"/>
  <c r="I304" i="2"/>
  <c r="K304" i="2" s="1"/>
  <c r="I812" i="2"/>
  <c r="K812" i="2" s="1"/>
  <c r="I362" i="2"/>
  <c r="K362" i="2" s="1"/>
  <c r="I134" i="2"/>
  <c r="K134" i="2" s="1"/>
  <c r="I593" i="2"/>
  <c r="K593" i="2" s="1"/>
  <c r="I168" i="2"/>
  <c r="K168" i="2" s="1"/>
  <c r="I477" i="2"/>
  <c r="K477" i="2" s="1"/>
  <c r="I968" i="2"/>
  <c r="K968" i="2" s="1"/>
  <c r="I507" i="2"/>
  <c r="K507" i="2" s="1"/>
  <c r="I47" i="2"/>
  <c r="K47" i="2" s="1"/>
  <c r="I773" i="2"/>
  <c r="K773" i="2" s="1"/>
  <c r="I896" i="2"/>
  <c r="K896" i="2" s="1"/>
  <c r="I854" i="2"/>
  <c r="K854" i="2" s="1"/>
  <c r="I735" i="2"/>
  <c r="K735" i="2" s="1"/>
  <c r="I411" i="2"/>
  <c r="K411" i="2" s="1"/>
  <c r="I432" i="2"/>
  <c r="K432" i="2" s="1"/>
  <c r="I148" i="2"/>
  <c r="K148" i="2" s="1"/>
  <c r="I825" i="2"/>
  <c r="K825" i="2" s="1"/>
  <c r="I521" i="2"/>
  <c r="K521" i="2" s="1"/>
  <c r="I835" i="2"/>
  <c r="K835" i="2" s="1"/>
  <c r="I180" i="2"/>
  <c r="K180" i="2" s="1"/>
  <c r="I123" i="2"/>
  <c r="K123" i="2" s="1"/>
  <c r="I616" i="2"/>
  <c r="K616" i="2" s="1"/>
  <c r="I736" i="2"/>
  <c r="K736" i="2" s="1"/>
  <c r="I799" i="2"/>
  <c r="K799" i="2" s="1"/>
  <c r="I412" i="2"/>
  <c r="K412" i="2" s="1"/>
  <c r="I363" i="2"/>
  <c r="K363" i="2" s="1"/>
  <c r="I297" i="2"/>
  <c r="K297" i="2" s="1"/>
  <c r="I83" i="2"/>
  <c r="K83" i="2" s="1"/>
  <c r="I783" i="2"/>
  <c r="K783" i="2" s="1"/>
  <c r="I448" i="2"/>
  <c r="K448" i="2" s="1"/>
  <c r="I737" i="2"/>
  <c r="K737" i="2" s="1"/>
  <c r="I154" i="2"/>
  <c r="K154" i="2" s="1"/>
  <c r="I494" i="2"/>
  <c r="K494" i="2" s="1"/>
  <c r="I495" i="2"/>
  <c r="K495" i="2" s="1"/>
  <c r="I738" i="2"/>
  <c r="K738" i="2" s="1"/>
  <c r="I660" i="2"/>
  <c r="K660" i="2" s="1"/>
  <c r="I696" i="2"/>
  <c r="K696" i="2" s="1"/>
  <c r="I638" i="2"/>
  <c r="K638" i="2" s="1"/>
  <c r="I774" i="2"/>
  <c r="K774" i="2" s="1"/>
  <c r="I84" i="2"/>
  <c r="K84" i="2" s="1"/>
  <c r="I976" i="2"/>
  <c r="K976" i="2" s="1"/>
  <c r="I609" i="2"/>
  <c r="K609" i="2" s="1"/>
  <c r="I75" i="2"/>
  <c r="K75" i="2" s="1"/>
  <c r="I628" i="2"/>
  <c r="K628" i="2" s="1"/>
  <c r="I617" i="2"/>
  <c r="K617" i="2" s="1"/>
  <c r="I961" i="2"/>
  <c r="K961" i="2" s="1"/>
  <c r="I610" i="2"/>
  <c r="K610" i="2" s="1"/>
  <c r="I384" i="2"/>
  <c r="K384" i="2" s="1"/>
  <c r="I102" i="2"/>
  <c r="K102" i="2" s="1"/>
  <c r="I155" i="2"/>
  <c r="K155" i="2" s="1"/>
  <c r="I508" i="2"/>
  <c r="K508" i="2" s="1"/>
  <c r="I855" i="2"/>
  <c r="K855" i="2" s="1"/>
  <c r="I755" i="2"/>
  <c r="K755" i="2" s="1"/>
  <c r="I950" i="2"/>
  <c r="K950" i="2" s="1"/>
  <c r="I421" i="2"/>
  <c r="K421" i="2" s="1"/>
  <c r="I728" i="2"/>
  <c r="K728" i="2" s="1"/>
  <c r="I332" i="2"/>
  <c r="K332" i="2" s="1"/>
  <c r="I94" i="2"/>
  <c r="K94" i="2" s="1"/>
  <c r="I67" i="2"/>
  <c r="K67" i="2" s="1"/>
  <c r="I775" i="2"/>
  <c r="K775" i="2" s="1"/>
  <c r="I689" i="2"/>
  <c r="K689" i="2" s="1"/>
  <c r="I41" i="2"/>
  <c r="K41" i="2" s="1"/>
  <c r="I831" i="2"/>
  <c r="K831" i="2" s="1"/>
  <c r="I939" i="2"/>
  <c r="K939" i="2" s="1"/>
  <c r="I793" i="2"/>
  <c r="K793" i="2" s="1"/>
  <c r="I800" i="2"/>
  <c r="K800" i="2" s="1"/>
  <c r="I721" i="2"/>
  <c r="K721" i="2" s="1"/>
  <c r="I580" i="2"/>
  <c r="K580" i="2" s="1"/>
  <c r="I717" i="2"/>
  <c r="K717" i="2" s="1"/>
  <c r="I288" i="2"/>
  <c r="K288" i="2" s="1"/>
  <c r="I571" i="2"/>
  <c r="K571" i="2" s="1"/>
  <c r="I765" i="2"/>
  <c r="K765" i="2" s="1"/>
  <c r="I352" i="2"/>
  <c r="K352" i="2" s="1"/>
  <c r="I44" i="2"/>
  <c r="K44" i="2" s="1"/>
  <c r="I572" i="2"/>
  <c r="K572" i="2" s="1"/>
  <c r="I58" i="2"/>
  <c r="K58" i="2" s="1"/>
  <c r="I873" i="2"/>
  <c r="K873" i="2" s="1"/>
  <c r="I805" i="2"/>
  <c r="K805" i="2" s="1"/>
  <c r="I174" i="2"/>
  <c r="K174" i="2" s="1"/>
  <c r="I739" i="2"/>
  <c r="K739" i="2" s="1"/>
  <c r="I639" i="2"/>
  <c r="K639" i="2" s="1"/>
  <c r="I740" i="2"/>
  <c r="K740" i="2" s="1"/>
  <c r="I496" i="2"/>
  <c r="K496" i="2" s="1"/>
  <c r="I940" i="2"/>
  <c r="K940" i="2" s="1"/>
  <c r="I95" i="2"/>
  <c r="K95" i="2" s="1"/>
  <c r="I364" i="2"/>
  <c r="K364" i="2" s="1"/>
  <c r="I156" i="2"/>
  <c r="K156" i="2" s="1"/>
  <c r="I718" i="2"/>
  <c r="K718" i="2" s="1"/>
  <c r="I310" i="2"/>
  <c r="K310" i="2" s="1"/>
  <c r="I413" i="2"/>
  <c r="K413" i="2" s="1"/>
  <c r="I478" i="2"/>
  <c r="K478" i="2" s="1"/>
  <c r="I433" i="2"/>
  <c r="K433" i="2" s="1"/>
  <c r="I463" i="2"/>
  <c r="K463" i="2" s="1"/>
  <c r="I863" i="2"/>
  <c r="K863" i="2" s="1"/>
  <c r="I749" i="2"/>
  <c r="K749" i="2" s="1"/>
  <c r="I469" i="2"/>
  <c r="K469" i="2" s="1"/>
  <c r="I317" i="2"/>
  <c r="K317" i="2" s="1"/>
  <c r="I722" i="2"/>
  <c r="K722" i="2" s="1"/>
  <c r="I806" i="2"/>
  <c r="K806" i="2" s="1"/>
  <c r="I741" i="2"/>
  <c r="K741" i="2" s="1"/>
  <c r="I103" i="2"/>
  <c r="K103" i="2" s="1"/>
  <c r="I45" i="2"/>
  <c r="K45" i="2" s="1"/>
  <c r="I935" i="2"/>
  <c r="K935" i="2" s="1"/>
  <c r="I318" i="2"/>
  <c r="K318" i="2" s="1"/>
  <c r="I5" i="2"/>
  <c r="K5" i="2" s="1"/>
  <c r="I756" i="2"/>
  <c r="K756" i="2" s="1"/>
  <c r="I96" i="2"/>
  <c r="K96" i="2" s="1"/>
  <c r="I375" i="2"/>
  <c r="K375" i="2" s="1"/>
  <c r="I30" i="2"/>
  <c r="K30" i="2" s="1"/>
  <c r="I227" i="2"/>
  <c r="K227" i="2" s="1"/>
  <c r="I856" i="2"/>
  <c r="K856" i="2" s="1"/>
  <c r="I952" i="2"/>
  <c r="K952" i="2" s="1"/>
  <c r="I404" i="2"/>
  <c r="K404" i="2" s="1"/>
  <c r="I594" i="2"/>
  <c r="K594" i="2" s="1"/>
  <c r="I76" i="2"/>
  <c r="K76" i="2" s="1"/>
  <c r="I9" i="2"/>
  <c r="K9" i="2" s="1"/>
  <c r="I106" i="2"/>
  <c r="K106" i="2" s="1"/>
  <c r="I228" i="2"/>
  <c r="K228" i="2" s="1"/>
  <c r="I422" i="2"/>
  <c r="K422" i="2" s="1"/>
  <c r="I629" i="2"/>
  <c r="K629" i="2" s="1"/>
  <c r="I509" i="2"/>
  <c r="K509" i="2" s="1"/>
  <c r="I630" i="2"/>
  <c r="K630" i="2" s="1"/>
  <c r="I697" i="2"/>
  <c r="K697" i="2" s="1"/>
  <c r="I289" i="2"/>
  <c r="K289" i="2" s="1"/>
  <c r="I936" i="2"/>
  <c r="K936" i="2" s="1"/>
  <c r="I595" i="2"/>
  <c r="K595" i="2" s="1"/>
  <c r="I784" i="2"/>
  <c r="K784" i="2" s="1"/>
  <c r="I333" i="2"/>
  <c r="K333" i="2" s="1"/>
  <c r="I252" i="2"/>
  <c r="K252" i="2" s="1"/>
  <c r="I649" i="2"/>
  <c r="K649" i="2" s="1"/>
  <c r="I169" i="2"/>
  <c r="K169" i="2" s="1"/>
  <c r="I449" i="2"/>
  <c r="K449" i="2" s="1"/>
  <c r="I470" i="2"/>
  <c r="K470" i="2" s="1"/>
  <c r="I327" i="2"/>
  <c r="K327" i="2" s="1"/>
  <c r="I267" i="2"/>
  <c r="K267" i="2" s="1"/>
  <c r="I305" i="2"/>
  <c r="K305" i="2" s="1"/>
  <c r="I906" i="2"/>
  <c r="K906" i="2" s="1"/>
  <c r="I282" i="2"/>
  <c r="K282" i="2" s="1"/>
  <c r="I841" i="2"/>
  <c r="K841" i="2" s="1"/>
  <c r="I208" i="2"/>
  <c r="K208" i="2" s="1"/>
  <c r="I13" i="2"/>
  <c r="K13" i="2" s="1"/>
  <c r="I268" i="2"/>
  <c r="K268" i="2" s="1"/>
  <c r="I201" i="2"/>
  <c r="K201" i="2" s="1"/>
  <c r="I290" i="2"/>
  <c r="K290" i="2" s="1"/>
  <c r="I346" i="2"/>
  <c r="K346" i="2" s="1"/>
  <c r="I196" i="2"/>
  <c r="K196" i="2" s="1"/>
  <c r="I819" i="2"/>
  <c r="K819" i="2" s="1"/>
  <c r="I742" i="2"/>
  <c r="K742" i="2" s="1"/>
  <c r="I347" i="2"/>
  <c r="K347" i="2" s="1"/>
  <c r="I640" i="2"/>
  <c r="K640" i="2" s="1"/>
  <c r="I962" i="2"/>
  <c r="K962" i="2" s="1"/>
  <c r="I464" i="2"/>
  <c r="K464" i="2" s="1"/>
  <c r="I46" i="2"/>
  <c r="K46" i="2" s="1"/>
  <c r="I874" i="2"/>
  <c r="K874" i="2" s="1"/>
  <c r="I973" i="2"/>
  <c r="K973" i="2" s="1"/>
  <c r="I729" i="2"/>
  <c r="K729" i="2" s="1"/>
  <c r="I376" i="2"/>
  <c r="K376" i="2" s="1"/>
  <c r="I857" i="2"/>
  <c r="K857" i="2" s="1"/>
  <c r="I977" i="2"/>
  <c r="K977" i="2" s="1"/>
  <c r="I730" i="2"/>
  <c r="K730" i="2" s="1"/>
  <c r="I49" i="2"/>
  <c r="K49" i="2" s="1"/>
  <c r="I38" i="2"/>
  <c r="K38" i="2" s="1"/>
  <c r="I618" i="2"/>
  <c r="K618" i="2" s="1"/>
  <c r="I522" i="2"/>
  <c r="K522" i="2" s="1"/>
  <c r="I465" i="2"/>
  <c r="K465" i="2" s="1"/>
  <c r="I359" i="2"/>
  <c r="K359" i="2" s="1"/>
  <c r="I619" i="2"/>
  <c r="K619" i="2" s="1"/>
  <c r="I443" i="2"/>
  <c r="K443" i="2" s="1"/>
  <c r="I653" i="2"/>
  <c r="K653" i="2" s="1"/>
  <c r="I544" i="2"/>
  <c r="K544" i="2" s="1"/>
  <c r="I202" i="2"/>
  <c r="K202" i="2" s="1"/>
  <c r="I602" i="2"/>
  <c r="K602" i="2" s="1"/>
  <c r="I53" i="2"/>
  <c r="K53" i="2" s="1"/>
  <c r="I291" i="2"/>
  <c r="K291" i="2" s="1"/>
  <c r="I948" i="2"/>
  <c r="K948" i="2" s="1"/>
  <c r="I393" i="2"/>
  <c r="K393" i="2" s="1"/>
  <c r="I242" i="2"/>
  <c r="K242" i="2" s="1"/>
  <c r="I292" i="2"/>
  <c r="K292" i="2" s="1"/>
  <c r="I68" i="2"/>
  <c r="K68" i="2" s="1"/>
  <c r="I217" i="2"/>
  <c r="K217" i="2" s="1"/>
  <c r="I981" i="2"/>
  <c r="K981" i="2" s="1"/>
  <c r="I253" i="2"/>
  <c r="K253" i="2" s="1"/>
  <c r="I479" i="2"/>
  <c r="K479" i="2" s="1"/>
  <c r="I385" i="2"/>
  <c r="K385" i="2" s="1"/>
  <c r="I801" i="2"/>
  <c r="K801" i="2" s="1"/>
  <c r="I193" i="2"/>
  <c r="K193" i="2" s="1"/>
  <c r="I890" i="2"/>
  <c r="K890" i="2" s="1"/>
  <c r="I596" i="2"/>
  <c r="K596" i="2" s="1"/>
  <c r="I832" i="2"/>
  <c r="K832" i="2" s="1"/>
  <c r="I423" i="2"/>
  <c r="K423" i="2" s="1"/>
  <c r="I424" i="2"/>
  <c r="K424" i="2" s="1"/>
  <c r="I466" i="2"/>
  <c r="K466" i="2" s="1"/>
  <c r="I690" i="2"/>
  <c r="K690" i="2" s="1"/>
  <c r="I573" i="2"/>
  <c r="K573" i="2" s="1"/>
  <c r="I581" i="2"/>
  <c r="K581" i="2" s="1"/>
  <c r="I353" i="2"/>
  <c r="K353" i="2" s="1"/>
  <c r="I203" i="2"/>
  <c r="K203" i="2" s="1"/>
  <c r="I945" i="2"/>
  <c r="K945" i="2" s="1"/>
  <c r="I283" i="2"/>
  <c r="K283" i="2" s="1"/>
  <c r="I231" i="2"/>
  <c r="K231" i="2" s="1"/>
  <c r="I671" i="2"/>
  <c r="K671" i="2" s="1"/>
  <c r="I22" i="2"/>
  <c r="K22" i="2" s="1"/>
  <c r="I365" i="2"/>
  <c r="K365" i="2" s="1"/>
  <c r="I887" i="2"/>
  <c r="K887" i="2" s="1"/>
  <c r="I497" i="2"/>
  <c r="K497" i="2" s="1"/>
  <c r="I269" i="2"/>
  <c r="K269" i="2" s="1"/>
  <c r="I328" i="2"/>
  <c r="K328" i="2" s="1"/>
  <c r="I354" i="2"/>
  <c r="K354" i="2" s="1"/>
  <c r="I471" i="2"/>
  <c r="K471" i="2" s="1"/>
  <c r="I232" i="2"/>
  <c r="K232" i="2" s="1"/>
  <c r="I145" i="2"/>
  <c r="K145" i="2" s="1"/>
  <c r="I498" i="2"/>
  <c r="K498" i="2" s="1"/>
  <c r="I116" i="2"/>
  <c r="K116" i="2" s="1"/>
  <c r="I523" i="2"/>
  <c r="K523" i="2" s="1"/>
  <c r="I582" i="2"/>
  <c r="K582" i="2" s="1"/>
  <c r="I270" i="2"/>
  <c r="K270" i="2" s="1"/>
  <c r="I907" i="2"/>
  <c r="K907" i="2" s="1"/>
  <c r="I698" i="2"/>
  <c r="K698" i="2" s="1"/>
  <c r="I802" i="2"/>
  <c r="K802" i="2" s="1"/>
  <c r="I456" i="2"/>
  <c r="K456" i="2" s="1"/>
  <c r="I743" i="2"/>
  <c r="K743" i="2" s="1"/>
  <c r="I757" i="2"/>
  <c r="K757" i="2" s="1"/>
  <c r="I620" i="2"/>
  <c r="K620" i="2" s="1"/>
  <c r="I405" i="2"/>
  <c r="K405" i="2" s="1"/>
  <c r="I842" i="2"/>
  <c r="K842" i="2" s="1"/>
  <c r="I57" i="2"/>
  <c r="K57" i="2" s="1"/>
  <c r="I691" i="2"/>
  <c r="K691" i="2" s="1"/>
  <c r="I758" i="2"/>
  <c r="K758" i="2" s="1"/>
  <c r="I983" i="2"/>
  <c r="K983" i="2" s="1"/>
  <c r="I603" i="2"/>
  <c r="K603" i="2" s="1"/>
  <c r="I233" i="2"/>
  <c r="K233" i="2" s="1"/>
  <c r="I263" i="2"/>
  <c r="K263" i="2" s="1"/>
  <c r="I70" i="2"/>
  <c r="K70" i="2" s="1"/>
  <c r="I897" i="2"/>
  <c r="K897" i="2" s="1"/>
  <c r="I135" i="2"/>
  <c r="K135" i="2" s="1"/>
  <c r="I999" i="2"/>
  <c r="K999" i="2" s="1"/>
  <c r="I499" i="2"/>
  <c r="K499" i="2" s="1"/>
  <c r="I197" i="2"/>
  <c r="K197" i="2" s="1"/>
  <c r="I124" i="2"/>
  <c r="K124" i="2" s="1"/>
  <c r="I611" i="2"/>
  <c r="K611" i="2" s="1"/>
  <c r="I900" i="2"/>
  <c r="K900" i="2" s="1"/>
  <c r="I406" i="2"/>
  <c r="K406" i="2" s="1"/>
  <c r="I920" i="2"/>
  <c r="K920" i="2" s="1"/>
  <c r="I15" i="2"/>
  <c r="K15" i="2" s="1"/>
  <c r="I480" i="2"/>
  <c r="K480" i="2" s="1"/>
  <c r="I864" i="2"/>
  <c r="K864" i="2" s="1"/>
  <c r="I813" i="2"/>
  <c r="K813" i="2" s="1"/>
  <c r="I901" i="2"/>
  <c r="K901" i="2" s="1"/>
  <c r="I510" i="2"/>
  <c r="K510" i="2" s="1"/>
  <c r="I794" i="2"/>
  <c r="K794" i="2" s="1"/>
  <c r="I339" i="2"/>
  <c r="K339" i="2" s="1"/>
  <c r="I953" i="2"/>
  <c r="K953" i="2" s="1"/>
  <c r="I723" i="2"/>
  <c r="K723" i="2" s="1"/>
  <c r="I481" i="2"/>
  <c r="K481" i="2" s="1"/>
  <c r="I641" i="2"/>
  <c r="K641" i="2" s="1"/>
  <c r="I355" i="2"/>
  <c r="K355" i="2" s="1"/>
  <c r="I583" i="2"/>
  <c r="K583" i="2" s="1"/>
  <c r="I566" i="2"/>
  <c r="K566" i="2" s="1"/>
  <c r="I204" i="2"/>
  <c r="K204" i="2" s="1"/>
  <c r="I425" i="2"/>
  <c r="K425" i="2" s="1"/>
  <c r="I149" i="2"/>
  <c r="K149" i="2" s="1"/>
  <c r="I136" i="2"/>
  <c r="K136" i="2" s="1"/>
  <c r="I597" i="2"/>
  <c r="K597" i="2" s="1"/>
  <c r="I186" i="2"/>
  <c r="K186" i="2" s="1"/>
  <c r="I538" i="2"/>
  <c r="K538" i="2" s="1"/>
  <c r="I248" i="2"/>
  <c r="K248" i="2" s="1"/>
  <c r="I823" i="2"/>
  <c r="K823" i="2" s="1"/>
  <c r="I692" i="2"/>
  <c r="K692" i="2" s="1"/>
  <c r="I434" i="2"/>
  <c r="K434" i="2" s="1"/>
  <c r="I891" i="2"/>
  <c r="K891" i="2" s="1"/>
  <c r="I908" i="2"/>
  <c r="K908" i="2" s="1"/>
  <c r="I334" i="2"/>
  <c r="K334" i="2" s="1"/>
  <c r="I435" i="2"/>
  <c r="K435" i="2" s="1"/>
  <c r="I130" i="2"/>
  <c r="K130" i="2" s="1"/>
  <c r="I574" i="2"/>
  <c r="K574" i="2" s="1"/>
  <c r="I472" i="2"/>
  <c r="K472" i="2" s="1"/>
  <c r="I631" i="2"/>
  <c r="K631" i="2" s="1"/>
  <c r="I766" i="2"/>
  <c r="K766" i="2" s="1"/>
  <c r="I956" i="2"/>
  <c r="K956" i="2" s="1"/>
  <c r="I278" i="2"/>
  <c r="K278" i="2" s="1"/>
  <c r="I966" i="2"/>
  <c r="K966" i="2" s="1"/>
  <c r="I125" i="2"/>
  <c r="K125" i="2" s="1"/>
  <c r="I826" i="2"/>
  <c r="K826" i="2" s="1"/>
  <c r="I482" i="2"/>
  <c r="K482" i="2" s="1"/>
  <c r="I209" i="2"/>
  <c r="K209" i="2" s="1"/>
  <c r="I759" i="2"/>
  <c r="K759" i="2" s="1"/>
  <c r="I930" i="2"/>
  <c r="K930" i="2" s="1"/>
  <c r="I642" i="2"/>
  <c r="K642" i="2" s="1"/>
  <c r="I150" i="2"/>
  <c r="K150" i="2" s="1"/>
  <c r="I181" i="2"/>
  <c r="K181" i="2" s="1"/>
  <c r="I271" i="2"/>
  <c r="K271" i="2" s="1"/>
  <c r="I946" i="2"/>
  <c r="K946" i="2" s="1"/>
  <c r="I850" i="2"/>
  <c r="K850" i="2" s="1"/>
  <c r="I843" i="2"/>
  <c r="K843" i="2" s="1"/>
  <c r="I575" i="2"/>
  <c r="K575" i="2" s="1"/>
  <c r="I654" i="2"/>
  <c r="K654" i="2" s="1"/>
  <c r="I672" i="2"/>
  <c r="K672" i="2" s="1"/>
  <c r="I234" i="2"/>
  <c r="K234" i="2" s="1"/>
  <c r="I914" i="2"/>
  <c r="K914" i="2" s="1"/>
  <c r="I319" i="2"/>
  <c r="K319" i="2" s="1"/>
  <c r="I182" i="2"/>
  <c r="K182" i="2" s="1"/>
  <c r="I131" i="2"/>
  <c r="K131" i="2" s="1"/>
  <c r="I340" i="2"/>
  <c r="K340" i="2" s="1"/>
  <c r="I272" i="2"/>
  <c r="K272" i="2" s="1"/>
  <c r="I50" i="2"/>
  <c r="K50" i="2" s="1"/>
  <c r="I27" i="2"/>
  <c r="K27" i="2" s="1"/>
  <c r="I511" i="2"/>
  <c r="K511" i="2" s="1"/>
  <c r="I528" i="2"/>
  <c r="K528" i="2" s="1"/>
  <c r="I132" i="2"/>
  <c r="K132" i="2" s="1"/>
  <c r="I298" i="2"/>
  <c r="K298" i="2" s="1"/>
  <c r="I915" i="2"/>
  <c r="K915" i="2" s="1"/>
  <c r="I545" i="2"/>
  <c r="K545" i="2" s="1"/>
  <c r="I744" i="2"/>
  <c r="K744" i="2" s="1"/>
  <c r="I218" i="2"/>
  <c r="K218" i="2" s="1"/>
  <c r="I284" i="2"/>
  <c r="K284" i="2" s="1"/>
  <c r="I655" i="2"/>
  <c r="K655" i="2" s="1"/>
  <c r="I963" i="2"/>
  <c r="K963" i="2" s="1"/>
  <c r="I567" i="2"/>
  <c r="K567" i="2" s="1"/>
  <c r="I814" i="2"/>
  <c r="K814" i="2" s="1"/>
  <c r="I785" i="2"/>
  <c r="K785" i="2" s="1"/>
  <c r="I937" i="2"/>
  <c r="K937" i="2" s="1"/>
  <c r="I386" i="2"/>
  <c r="K386" i="2" s="1"/>
  <c r="I815" i="2"/>
  <c r="K815" i="2" s="1"/>
  <c r="I984" i="2"/>
  <c r="K984" i="2" s="1"/>
  <c r="I473" i="2"/>
  <c r="K473" i="2" s="1"/>
  <c r="I387" i="2"/>
  <c r="K387" i="2" s="1"/>
  <c r="I643" i="2"/>
  <c r="K643" i="2" s="1"/>
  <c r="I644" i="2"/>
  <c r="K644" i="2" s="1"/>
  <c r="I931" i="2"/>
  <c r="K931" i="2" s="1"/>
  <c r="I62" i="2"/>
  <c r="K62" i="2" s="1"/>
  <c r="I474" i="2"/>
  <c r="K474" i="2" s="1"/>
  <c r="I63" i="2"/>
  <c r="K63" i="2" s="1"/>
  <c r="I18" i="2"/>
  <c r="K18" i="2" s="1"/>
  <c r="I512" i="2"/>
  <c r="K512" i="2" s="1"/>
  <c r="I394" i="2"/>
  <c r="K394" i="2" s="1"/>
  <c r="I388" i="2"/>
  <c r="K388" i="2" s="1"/>
  <c r="I457" i="2"/>
  <c r="K457" i="2" s="1"/>
  <c r="I707" i="2"/>
  <c r="K707" i="2" s="1"/>
  <c r="I557" i="2"/>
  <c r="K557" i="2" s="1"/>
  <c r="I970" i="2"/>
  <c r="K970" i="2" s="1"/>
  <c r="I661" i="2"/>
  <c r="K661" i="2" s="1"/>
  <c r="I85" i="2"/>
  <c r="K85" i="2" s="1"/>
  <c r="I59" i="2"/>
  <c r="K59" i="2" s="1"/>
  <c r="I989" i="2"/>
  <c r="K989" i="2" s="1"/>
  <c r="I546" i="2"/>
  <c r="K546" i="2" s="1"/>
  <c r="I157" i="2"/>
  <c r="K157" i="2" s="1"/>
  <c r="I475" i="2"/>
  <c r="K475" i="2" s="1"/>
  <c r="I604" i="2"/>
  <c r="K604" i="2" s="1"/>
  <c r="I972" i="2"/>
  <c r="K972" i="2" s="1"/>
  <c r="I229" i="2"/>
  <c r="K229" i="2" s="1"/>
  <c r="I293" i="2"/>
  <c r="K293" i="2" s="1"/>
  <c r="I693" i="2"/>
  <c r="K693" i="2" s="1"/>
  <c r="I101" i="2"/>
  <c r="K101" i="2" s="1"/>
  <c r="I187" i="2"/>
  <c r="K187" i="2" s="1"/>
  <c r="I916" i="2"/>
  <c r="K916" i="2" s="1"/>
  <c r="I175" i="2"/>
  <c r="K175" i="2" s="1"/>
  <c r="I306" i="2"/>
  <c r="K306" i="2" s="1"/>
  <c r="I959" i="2"/>
  <c r="K959" i="2" s="1"/>
  <c r="I776" i="2"/>
  <c r="K776" i="2" s="1"/>
  <c r="I584" i="2"/>
  <c r="K584" i="2" s="1"/>
  <c r="I708" i="2"/>
  <c r="K708" i="2" s="1"/>
  <c r="I662" i="2"/>
  <c r="K662" i="2" s="1"/>
  <c r="I612" i="2"/>
  <c r="K612" i="2" s="1"/>
  <c r="I458" i="2"/>
  <c r="K458" i="2" s="1"/>
  <c r="I219" i="2"/>
  <c r="K219" i="2" s="1"/>
  <c r="I311" i="2"/>
  <c r="K311" i="2" s="1"/>
  <c r="I285" i="2"/>
  <c r="K285" i="2" s="1"/>
  <c r="I220" i="2"/>
  <c r="K220" i="2" s="1"/>
  <c r="I312" i="2"/>
  <c r="K312" i="2" s="1"/>
  <c r="I450" i="2"/>
  <c r="K450" i="2" s="1"/>
  <c r="I663" i="2"/>
  <c r="K663" i="2" s="1"/>
  <c r="I987" i="2"/>
  <c r="K987" i="2" s="1"/>
  <c r="I524" i="2"/>
  <c r="K524" i="2" s="1"/>
  <c r="I4" i="2"/>
  <c r="K4" i="2" s="1"/>
  <c r="I137" i="2"/>
  <c r="K137" i="2" s="1"/>
  <c r="I632" i="2"/>
  <c r="K632" i="2" s="1"/>
  <c r="I709" i="2"/>
  <c r="K709" i="2" s="1"/>
  <c r="I273" i="2"/>
  <c r="K273" i="2" s="1"/>
  <c r="I8" i="2"/>
  <c r="K8" i="2" s="1"/>
  <c r="I760" i="2"/>
  <c r="K760" i="2" s="1"/>
  <c r="I210" i="2"/>
  <c r="K210" i="2" s="1"/>
  <c r="I926" i="2"/>
  <c r="K926" i="2" s="1"/>
  <c r="I539" i="2"/>
  <c r="K539" i="2" s="1"/>
  <c r="I868" i="2"/>
  <c r="K868" i="2" s="1"/>
  <c r="I119" i="2"/>
  <c r="K119" i="2" s="1"/>
  <c r="I341" i="2"/>
  <c r="K341" i="2" s="1"/>
  <c r="I335" i="2"/>
  <c r="K335" i="2" s="1"/>
  <c r="I377" i="2"/>
  <c r="K377" i="2" s="1"/>
  <c r="I313" i="2"/>
  <c r="K313" i="2" s="1"/>
  <c r="I964" i="2"/>
  <c r="K964" i="2" s="1"/>
  <c r="I605" i="2"/>
  <c r="K605" i="2" s="1"/>
  <c r="I947" i="2"/>
  <c r="K947" i="2" s="1"/>
  <c r="I451" i="2"/>
  <c r="K451" i="2" s="1"/>
  <c r="I33" i="2"/>
  <c r="K33" i="2" s="1"/>
  <c r="I858" i="2"/>
  <c r="K858" i="2" s="1"/>
  <c r="I912" i="2"/>
  <c r="K912" i="2" s="1"/>
  <c r="I513" i="2"/>
  <c r="K513" i="2" s="1"/>
  <c r="I107" i="2"/>
  <c r="K107" i="2" s="1"/>
  <c r="I299" i="2"/>
  <c r="K299" i="2" s="1"/>
  <c r="I170" i="2"/>
  <c r="K170" i="2" s="1"/>
  <c r="I978" i="2"/>
  <c r="K978" i="2" s="1"/>
  <c r="I300" i="2"/>
  <c r="K300" i="2" s="1"/>
  <c r="I995" i="2"/>
  <c r="K995" i="2" s="1"/>
  <c r="I467" i="2"/>
  <c r="K467" i="2" s="1"/>
  <c r="I138" i="2"/>
  <c r="K138" i="2" s="1"/>
  <c r="I120" i="2"/>
  <c r="K120" i="2" s="1"/>
  <c r="I108" i="2"/>
  <c r="K108" i="2" s="1"/>
  <c r="I459" i="2"/>
  <c r="K459" i="2" s="1"/>
  <c r="I483" i="2"/>
  <c r="K483" i="2" s="1"/>
  <c r="I650" i="2"/>
  <c r="K650" i="2" s="1"/>
  <c r="I851" i="2"/>
  <c r="K851" i="2" s="1"/>
  <c r="I852" i="2"/>
  <c r="K852" i="2" s="1"/>
  <c r="I540" i="2"/>
  <c r="K540" i="2" s="1"/>
  <c r="I710" i="2"/>
  <c r="K710" i="2" s="1"/>
  <c r="I913" i="2"/>
  <c r="K913" i="2" s="1"/>
  <c r="I777" i="2"/>
  <c r="K777" i="2" s="1"/>
  <c r="I664" i="2"/>
  <c r="K664" i="2" s="1"/>
  <c r="I78" i="2"/>
  <c r="K78" i="2" s="1"/>
  <c r="I875" i="2"/>
  <c r="K875" i="2" s="1"/>
  <c r="I745" i="2"/>
  <c r="K745" i="2" s="1"/>
  <c r="I750" i="2"/>
  <c r="K750" i="2" s="1"/>
  <c r="I407" i="2"/>
  <c r="K407" i="2" s="1"/>
  <c r="I699" i="2"/>
  <c r="K699" i="2" s="1"/>
  <c r="I395" i="2"/>
  <c r="K395" i="2" s="1"/>
  <c r="I396" i="2"/>
  <c r="K396" i="2" s="1"/>
  <c r="I158" i="2"/>
  <c r="K158" i="2" s="1"/>
  <c r="I719" i="2"/>
  <c r="K719" i="2" s="1"/>
  <c r="I164" i="2"/>
  <c r="K164" i="2" s="1"/>
  <c r="I673" i="2"/>
  <c r="K673" i="2" s="1"/>
  <c r="I949" i="2"/>
  <c r="K949" i="2" s="1"/>
  <c r="I541" i="2"/>
  <c r="K541" i="2" s="1"/>
  <c r="I731" i="2"/>
  <c r="K731" i="2" s="1"/>
  <c r="I414" i="2"/>
  <c r="K414" i="2" s="1"/>
  <c r="I529" i="2"/>
  <c r="K529" i="2" s="1"/>
  <c r="I415" i="2"/>
  <c r="K415" i="2" s="1"/>
  <c r="I171" i="2"/>
  <c r="K171" i="2" s="1"/>
  <c r="I921" i="2"/>
  <c r="K921" i="2" s="1"/>
  <c r="I674" i="2"/>
  <c r="K674" i="2" s="1"/>
  <c r="I468" i="2"/>
  <c r="K468" i="2" s="1"/>
  <c r="I408" i="2"/>
  <c r="K408" i="2" s="1"/>
  <c r="I460" i="2"/>
  <c r="K460" i="2" s="1"/>
  <c r="I514" i="2"/>
  <c r="K514" i="2" s="1"/>
  <c r="I225" i="2"/>
  <c r="K225" i="2" s="1"/>
  <c r="I525" i="2"/>
  <c r="K525" i="2" s="1"/>
  <c r="I859" i="2"/>
  <c r="K859" i="2" s="1"/>
  <c r="I530" i="2"/>
  <c r="K530" i="2" s="1"/>
  <c r="I724" i="2"/>
  <c r="K724" i="2" s="1"/>
  <c r="I547" i="2"/>
  <c r="K547" i="2" s="1"/>
  <c r="I160" i="2"/>
  <c r="K160" i="2" s="1"/>
  <c r="I665" i="2"/>
  <c r="K665" i="2" s="1"/>
  <c r="I751" i="2"/>
  <c r="K751" i="2" s="1"/>
  <c r="I675" i="2"/>
  <c r="K675" i="2" s="1"/>
  <c r="I294" i="2"/>
  <c r="K294" i="2" s="1"/>
  <c r="I700" i="2"/>
  <c r="K700" i="2" s="1"/>
  <c r="I711" i="2"/>
  <c r="K711" i="2" s="1"/>
  <c r="I761" i="2"/>
  <c r="K761" i="2" s="1"/>
  <c r="I320" i="2"/>
  <c r="K320" i="2" s="1"/>
  <c r="I576" i="2"/>
  <c r="K576" i="2" s="1"/>
  <c r="I348" i="2"/>
  <c r="K348" i="2" s="1"/>
  <c r="I230" i="2"/>
  <c r="K230" i="2" s="1"/>
  <c r="I21" i="2"/>
  <c r="K21" i="2" s="1"/>
  <c r="I416" i="2"/>
  <c r="K416" i="2" s="1"/>
  <c r="I992" i="2"/>
  <c r="K992" i="2" s="1"/>
  <c r="I712" i="2"/>
  <c r="K712" i="2" s="1"/>
  <c r="I713" i="2"/>
  <c r="K713" i="2" s="1"/>
  <c r="I139" i="2"/>
  <c r="K139" i="2" s="1"/>
  <c r="I938" i="2"/>
  <c r="K938" i="2" s="1"/>
  <c r="I140" i="2"/>
  <c r="K140" i="2" s="1"/>
  <c r="I701" i="2"/>
  <c r="K701" i="2" s="1"/>
  <c r="I651" i="2"/>
  <c r="K651" i="2" s="1"/>
  <c r="I702" i="2"/>
  <c r="K702" i="2" s="1"/>
  <c r="I211" i="2"/>
  <c r="K211" i="2" s="1"/>
  <c r="I882" i="2"/>
  <c r="K882" i="2" s="1"/>
  <c r="I844" i="2"/>
  <c r="K844" i="2" s="1"/>
  <c r="I461" i="2"/>
  <c r="K461" i="2" s="1"/>
  <c r="I585" i="2"/>
  <c r="K585" i="2" s="1"/>
  <c r="I366" i="2"/>
  <c r="K366" i="2" s="1"/>
  <c r="I820" i="2"/>
  <c r="K820" i="2" s="1"/>
  <c r="I417" i="2"/>
  <c r="K417" i="2" s="1"/>
  <c r="I902" i="2"/>
  <c r="K902" i="2" s="1"/>
  <c r="I397" i="2"/>
  <c r="K397" i="2" s="1"/>
  <c r="I336" i="2"/>
  <c r="K336" i="2" s="1"/>
  <c r="I444" i="2"/>
  <c r="K444" i="2" s="1"/>
  <c r="I25" i="2"/>
  <c r="K25" i="2" s="1"/>
  <c r="I274" i="2"/>
  <c r="K274" i="2" s="1"/>
  <c r="I888" i="2"/>
  <c r="K888" i="2" s="1"/>
  <c r="I172" i="2"/>
  <c r="K172" i="2" s="1"/>
  <c r="I941" i="2"/>
  <c r="K941" i="2" s="1"/>
  <c r="I865" i="2"/>
  <c r="K865" i="2" s="1"/>
  <c r="I997" i="2"/>
  <c r="K997" i="2" s="1"/>
  <c r="I836" i="2"/>
  <c r="K836" i="2" s="1"/>
  <c r="I484" i="2"/>
  <c r="K484" i="2" s="1"/>
  <c r="I898" i="2"/>
  <c r="K898" i="2" s="1"/>
  <c r="I666" i="2"/>
  <c r="K666" i="2" s="1"/>
  <c r="I988" i="2"/>
  <c r="K988" i="2" s="1"/>
  <c r="I694" i="2"/>
  <c r="K694" i="2" s="1"/>
  <c r="I827" i="2"/>
  <c r="K827" i="2" s="1"/>
  <c r="I485" i="2"/>
  <c r="K485" i="2" s="1"/>
  <c r="I243" i="2"/>
  <c r="K243" i="2" s="1"/>
  <c r="I876" i="2"/>
  <c r="K876" i="2" s="1"/>
  <c r="I71" i="2"/>
  <c r="K71" i="2" s="1"/>
  <c r="I48" i="2"/>
  <c r="K48" i="2" s="1"/>
  <c r="I695" i="2"/>
  <c r="K695" i="2" s="1"/>
  <c r="I613" i="2"/>
  <c r="K613" i="2" s="1"/>
  <c r="I264" i="2"/>
  <c r="K264" i="2" s="1"/>
  <c r="I860" i="2"/>
  <c r="K860" i="2" s="1"/>
  <c r="I42" i="2"/>
  <c r="K42" i="2" s="1"/>
  <c r="I681" i="2"/>
  <c r="K681" i="2" s="1"/>
  <c r="I79" i="2"/>
  <c r="K79" i="2" s="1"/>
  <c r="I951" i="2"/>
  <c r="K951" i="2" s="1"/>
  <c r="I91" i="2"/>
  <c r="K91" i="2" s="1"/>
  <c r="I212" i="2"/>
  <c r="K212" i="2" s="1"/>
  <c r="I314" i="2"/>
  <c r="K314" i="2" s="1"/>
  <c r="I889" i="2"/>
  <c r="K889" i="2" s="1"/>
  <c r="I378" i="2"/>
  <c r="K378" i="2" s="1"/>
  <c r="I682" i="2"/>
  <c r="K682" i="2" s="1"/>
  <c r="I265" i="2"/>
  <c r="K265" i="2" s="1"/>
  <c r="I683" i="2"/>
  <c r="K683" i="2" s="1"/>
  <c r="I109" i="2"/>
  <c r="K109" i="2" s="1"/>
  <c r="I845" i="2"/>
  <c r="K845" i="2" s="1"/>
  <c r="I486" i="2"/>
  <c r="K486" i="2" s="1"/>
  <c r="I151" i="2"/>
  <c r="K151" i="2" s="1"/>
  <c r="I684" i="2"/>
  <c r="K684" i="2" s="1"/>
  <c r="I598" i="2"/>
  <c r="K598" i="2" s="1"/>
  <c r="I462" i="2"/>
  <c r="K462" i="2" s="1"/>
  <c r="I221" i="2"/>
  <c r="K221" i="2" s="1"/>
  <c r="I899" i="2"/>
  <c r="K899" i="2" s="1"/>
  <c r="I531" i="2"/>
  <c r="K531" i="2" s="1"/>
  <c r="I500" i="2"/>
  <c r="K500" i="2" s="1"/>
  <c r="I732" i="2"/>
  <c r="K732" i="2" s="1"/>
  <c r="I877" i="2"/>
  <c r="K877" i="2" s="1"/>
  <c r="I198" i="2"/>
  <c r="K198" i="2" s="1"/>
  <c r="I954" i="2"/>
  <c r="K954" i="2" s="1"/>
  <c r="I194" i="2"/>
  <c r="K194" i="2" s="1"/>
  <c r="I548" i="2"/>
  <c r="K548" i="2" s="1"/>
  <c r="I266" i="2"/>
  <c r="K266" i="2" s="1"/>
  <c r="I667" i="2"/>
  <c r="K667" i="2" s="1"/>
  <c r="I356" i="2"/>
  <c r="K356" i="2" s="1"/>
  <c r="I165" i="2"/>
  <c r="K165" i="2" s="1"/>
  <c r="I833" i="2"/>
  <c r="K833" i="2" s="1"/>
  <c r="I342" i="2"/>
  <c r="K342" i="2" s="1"/>
  <c r="I307" i="2"/>
  <c r="K307" i="2" s="1"/>
  <c r="I621" i="2"/>
  <c r="K621" i="2" s="1"/>
  <c r="I549" i="2"/>
  <c r="K549" i="2" s="1"/>
  <c r="I436" i="2"/>
  <c r="K436" i="2" s="1"/>
  <c r="I586" i="2"/>
  <c r="K586" i="2" s="1"/>
  <c r="I254" i="2"/>
  <c r="K254" i="2" s="1"/>
  <c r="I104" i="2"/>
  <c r="K104" i="2" s="1"/>
  <c r="I656" i="2"/>
  <c r="K656" i="2" s="1"/>
  <c r="I367" i="2"/>
  <c r="K367" i="2" s="1"/>
  <c r="I633" i="2"/>
  <c r="K633" i="2" s="1"/>
  <c r="I368" i="2"/>
  <c r="K368" i="2" s="1"/>
  <c r="I176" i="2"/>
  <c r="K176" i="2" s="1"/>
  <c r="I532" i="2"/>
  <c r="K532" i="2" s="1"/>
  <c r="I35" i="2"/>
  <c r="K35" i="2" s="1"/>
  <c r="I752" i="2"/>
  <c r="K752" i="2" s="1"/>
  <c r="I917" i="2"/>
  <c r="K917" i="2" s="1"/>
  <c r="I161" i="2"/>
  <c r="K161" i="2" s="1"/>
  <c r="I869" i="2"/>
  <c r="K869" i="2" s="1"/>
  <c r="I824" i="2"/>
  <c r="K824" i="2" s="1"/>
  <c r="I244" i="2"/>
  <c r="K244" i="2" s="1"/>
  <c r="I870" i="2"/>
  <c r="K870" i="2" s="1"/>
  <c r="I40" i="2"/>
  <c r="K40" i="2" s="1"/>
  <c r="I714" i="2"/>
  <c r="K714" i="2" s="1"/>
  <c r="I10" i="2"/>
  <c r="K10" i="2" s="1"/>
  <c r="I398" i="2"/>
  <c r="K398" i="2" s="1"/>
  <c r="I279" i="2"/>
  <c r="K279" i="2" s="1"/>
  <c r="I226" i="2"/>
  <c r="K226" i="2" s="1"/>
  <c r="I418" i="2"/>
  <c r="K418" i="2" s="1"/>
  <c r="I542" i="2"/>
  <c r="K542" i="2" s="1"/>
  <c r="I866" i="2"/>
  <c r="K866" i="2" s="1"/>
  <c r="I86" i="2"/>
  <c r="K86" i="2" s="1"/>
  <c r="I437" i="2"/>
  <c r="K437" i="2" s="1"/>
  <c r="I550" i="2"/>
  <c r="K550" i="2" s="1"/>
  <c r="I767" i="2"/>
  <c r="K767" i="2" s="1"/>
  <c r="I315" i="2"/>
  <c r="K315" i="2" s="1"/>
  <c r="I188" i="2"/>
  <c r="K188" i="2" s="1"/>
  <c r="I533" i="2"/>
  <c r="K533" i="2" s="1"/>
  <c r="I720" i="2"/>
  <c r="K720" i="2" s="1"/>
  <c r="I967" i="2"/>
  <c r="K967" i="2" s="1"/>
  <c r="I883" i="2"/>
  <c r="K883" i="2" s="1"/>
  <c r="I703" i="2"/>
  <c r="K703" i="2" s="1"/>
  <c r="I725" i="2"/>
  <c r="K725" i="2" s="1"/>
  <c r="I577" i="2"/>
  <c r="K577" i="2" s="1"/>
  <c r="I39" i="2"/>
  <c r="K39" i="2" s="1"/>
  <c r="I762" i="2"/>
  <c r="K762" i="2" s="1"/>
  <c r="I189" i="2"/>
  <c r="K189" i="2" s="1"/>
  <c r="I28" i="2"/>
  <c r="K28" i="2" s="1"/>
  <c r="I73" i="2"/>
  <c r="K73" i="2" s="1"/>
  <c r="I329" i="2"/>
  <c r="K329" i="2" s="1"/>
  <c r="I846" i="2"/>
  <c r="K846" i="2" s="1"/>
  <c r="I768" i="2"/>
  <c r="K768" i="2" s="1"/>
  <c r="I942" i="2"/>
  <c r="K942" i="2" s="1"/>
  <c r="I213" i="2"/>
  <c r="K213" i="2" s="1"/>
  <c r="I526" i="2"/>
  <c r="K526" i="2" s="1"/>
  <c r="I452" i="2"/>
  <c r="K452" i="2" s="1"/>
  <c r="I892" i="2"/>
  <c r="K892" i="2" s="1"/>
  <c r="I943" i="2"/>
  <c r="K943" i="2" s="1"/>
  <c r="I918" i="2"/>
  <c r="K918" i="2" s="1"/>
  <c r="I121" i="2"/>
  <c r="K121" i="2" s="1"/>
  <c r="I807" i="2"/>
  <c r="K807" i="2" s="1"/>
  <c r="I159" i="2"/>
  <c r="K159" i="2" s="1"/>
  <c r="I343" i="2"/>
  <c r="K343" i="2" s="1"/>
  <c r="I399" i="2"/>
  <c r="K399" i="2" s="1"/>
  <c r="I551" i="2"/>
  <c r="K551" i="2" s="1"/>
  <c r="I778" i="2"/>
  <c r="K778" i="2" s="1"/>
  <c r="I255" i="2"/>
  <c r="K255" i="2" s="1"/>
  <c r="I280" i="2"/>
  <c r="K280" i="2" s="1"/>
  <c r="I861" i="2"/>
  <c r="K861" i="2" s="1"/>
  <c r="I308" i="2"/>
  <c r="K308" i="2" s="1"/>
  <c r="I853" i="2"/>
  <c r="K853" i="2" s="1"/>
  <c r="I126" i="2"/>
  <c r="K126" i="2" s="1"/>
  <c r="I438" i="2"/>
  <c r="K438" i="2" s="1"/>
  <c r="I400" i="2"/>
  <c r="K400" i="2" s="1"/>
  <c r="I779" i="2"/>
  <c r="K779" i="2" s="1"/>
  <c r="I214" i="2"/>
  <c r="K214" i="2" s="1"/>
  <c r="I606" i="2"/>
  <c r="K606" i="2" s="1"/>
  <c r="I60" i="2"/>
  <c r="K60" i="2" s="1"/>
  <c r="I245" i="2"/>
  <c r="K245" i="2" s="1"/>
  <c r="I17" i="2"/>
  <c r="K17" i="2" s="1"/>
  <c r="I704" i="2"/>
  <c r="K704" i="2" s="1"/>
  <c r="I222" i="2"/>
  <c r="K222" i="2" s="1"/>
  <c r="I909" i="2"/>
  <c r="K909" i="2" s="1"/>
  <c r="I919" i="2"/>
  <c r="K919" i="2" s="1"/>
  <c r="I215" i="2"/>
  <c r="K215" i="2" s="1"/>
  <c r="I445" i="2"/>
  <c r="K445" i="2" s="1"/>
  <c r="I676" i="2"/>
  <c r="K676" i="2" s="1"/>
  <c r="I501" i="2"/>
  <c r="K501" i="2" s="1"/>
  <c r="I379" i="2"/>
  <c r="K379" i="2" s="1"/>
  <c r="I932" i="2"/>
  <c r="K932" i="2" s="1"/>
  <c r="I552" i="2"/>
  <c r="K552" i="2" s="1"/>
  <c r="I301" i="2"/>
  <c r="K301" i="2" s="1"/>
  <c r="I986" i="2"/>
  <c r="K986" i="2" s="1"/>
  <c r="I534" i="2"/>
  <c r="K534" i="2" s="1"/>
  <c r="I685" i="2"/>
  <c r="K685" i="2" s="1"/>
  <c r="I97" i="2"/>
  <c r="K97" i="2" s="1"/>
  <c r="I746" i="2"/>
  <c r="K746" i="2" s="1"/>
  <c r="I216" i="2"/>
  <c r="K216" i="2" s="1"/>
  <c r="I884" i="2"/>
  <c r="K884" i="2" s="1"/>
  <c r="I31" i="2"/>
  <c r="K31" i="2" s="1"/>
  <c r="I657" i="2"/>
  <c r="K657" i="2" s="1"/>
  <c r="I975" i="2"/>
  <c r="K975" i="2" s="1"/>
  <c r="I878" i="2"/>
  <c r="K878" i="2" s="1"/>
  <c r="I190" i="2"/>
  <c r="K190" i="2" s="1"/>
  <c r="I80" i="2"/>
  <c r="K80" i="2" s="1"/>
  <c r="I677" i="2"/>
  <c r="K677" i="2" s="1"/>
  <c r="I117" i="2"/>
  <c r="K117" i="2" s="1"/>
  <c r="I191" i="2"/>
  <c r="K191" i="2" s="1"/>
  <c r="I622" i="2"/>
  <c r="K622" i="2" s="1"/>
  <c r="I828" i="2"/>
  <c r="K828" i="2" s="1"/>
  <c r="I922" i="2"/>
  <c r="K922" i="2" s="1"/>
  <c r="I199" i="2"/>
  <c r="K199" i="2" s="1"/>
  <c r="I553" i="2"/>
  <c r="K553" i="2" s="1"/>
  <c r="I847" i="2"/>
  <c r="K847" i="2" s="1"/>
  <c r="I235" i="2"/>
  <c r="K235" i="2" s="1"/>
  <c r="I558" i="2"/>
  <c r="K558" i="2" s="1"/>
  <c r="I587" i="2"/>
  <c r="K587" i="2" s="1"/>
  <c r="I389" i="2"/>
  <c r="K389" i="2" s="1"/>
  <c r="I559" i="2"/>
  <c r="K559" i="2" s="1"/>
  <c r="I535" i="2"/>
  <c r="K535" i="2" s="1"/>
  <c r="I87" i="2"/>
  <c r="K87" i="2" s="1"/>
  <c r="I146" i="2"/>
  <c r="K146" i="2" s="1"/>
  <c r="I623" i="2"/>
  <c r="K623" i="2" s="1"/>
  <c r="I982" i="2"/>
  <c r="K982" i="2" s="1"/>
  <c r="I330" i="2"/>
  <c r="K330" i="2" s="1"/>
  <c r="I536" i="2"/>
  <c r="K536" i="2" s="1"/>
  <c r="I77" i="2"/>
  <c r="K77" i="2" s="1"/>
  <c r="I923" i="2"/>
  <c r="K923" i="2" s="1"/>
  <c r="I924" i="2"/>
  <c r="K924" i="2" s="1"/>
  <c r="I360" i="2"/>
  <c r="K360" i="2" s="1"/>
  <c r="I786" i="2"/>
  <c r="K786" i="2" s="1"/>
  <c r="I361" i="2"/>
  <c r="K361" i="2" s="1"/>
  <c r="I19" i="2"/>
  <c r="K19" i="2" s="1"/>
  <c r="I12" i="2"/>
  <c r="K12" i="2" s="1"/>
  <c r="I645" i="2"/>
  <c r="K645" i="2" s="1"/>
  <c r="I321" i="2"/>
  <c r="K321" i="2" s="1"/>
  <c r="I686" i="2"/>
  <c r="K686" i="2" s="1"/>
  <c r="I903" i="2"/>
  <c r="K903" i="2" s="1"/>
  <c r="I687" i="2"/>
  <c r="K687" i="2" s="1"/>
  <c r="I37" i="2"/>
  <c r="K37" i="2" s="1"/>
  <c r="I993" i="2"/>
  <c r="K993" i="2" s="1"/>
  <c r="I769" i="2"/>
  <c r="K769" i="2" s="1"/>
  <c r="I821" i="2"/>
  <c r="K821" i="2" s="1"/>
  <c r="I147" i="2"/>
  <c r="K147" i="2" s="1"/>
  <c r="I885" i="2"/>
  <c r="K885" i="2" s="1"/>
  <c r="I588" i="2"/>
  <c r="K588" i="2" s="1"/>
  <c r="I487" i="2"/>
  <c r="K487" i="2" s="1"/>
  <c r="I72" i="2"/>
  <c r="K72" i="2" s="1"/>
  <c r="I770" i="2"/>
  <c r="K770" i="2" s="1"/>
  <c r="I286" i="2"/>
  <c r="K286" i="2" s="1"/>
  <c r="I256" i="2"/>
  <c r="K256" i="2" s="1"/>
  <c r="I177" i="2"/>
  <c r="K177" i="2" s="1"/>
  <c r="I488" i="2"/>
  <c r="K488" i="2" s="1"/>
  <c r="I1000" i="2"/>
  <c r="K1000" i="2" s="1"/>
  <c r="I152" i="2"/>
  <c r="K152" i="2" s="1"/>
  <c r="I589" i="2"/>
  <c r="K589" i="2" s="1"/>
  <c r="I971" i="2"/>
  <c r="K971" i="2" s="1"/>
  <c r="I515" i="2"/>
  <c r="K515" i="2" s="1"/>
  <c r="I54" i="2"/>
  <c r="K54" i="2" s="1"/>
  <c r="I489" i="2"/>
  <c r="K489" i="2" s="1"/>
  <c r="I322" i="2"/>
  <c r="K322" i="2" s="1"/>
  <c r="I578" i="2"/>
  <c r="K578" i="2" s="1"/>
  <c r="I439" i="2"/>
  <c r="K439" i="2" s="1"/>
  <c r="I236" i="2"/>
  <c r="K236" i="2" s="1"/>
  <c r="I426" i="2"/>
  <c r="K426" i="2" s="1"/>
  <c r="I51" i="2"/>
  <c r="K51" i="2" s="1"/>
  <c r="I141" i="2"/>
  <c r="K141" i="2" s="1"/>
  <c r="I560" i="2"/>
  <c r="K560" i="2" s="1"/>
  <c r="I302" i="2"/>
  <c r="K302" i="2" s="1"/>
  <c r="I502" i="2"/>
  <c r="K502" i="2" s="1"/>
  <c r="I634" i="2"/>
  <c r="K634" i="2" s="1"/>
  <c r="I965" i="2"/>
  <c r="K965" i="2" s="1"/>
  <c r="I369" i="2"/>
  <c r="K369" i="2" s="1"/>
  <c r="I275" i="2"/>
  <c r="K275" i="2" s="1"/>
  <c r="I237" i="2"/>
  <c r="K237" i="2" s="1"/>
  <c r="I871" i="2"/>
  <c r="K871" i="2" s="1"/>
  <c r="I590" i="2"/>
  <c r="K590" i="2" s="1"/>
  <c r="I554" i="2"/>
  <c r="K554" i="2" s="1"/>
  <c r="I933" i="2"/>
  <c r="K933" i="2" s="1"/>
  <c r="I561" i="2"/>
  <c r="K561" i="2" s="1"/>
  <c r="I323" i="2"/>
  <c r="K323" i="2" s="1"/>
  <c r="I344" i="2"/>
  <c r="K344" i="2" s="1"/>
  <c r="I246" i="2"/>
  <c r="K246" i="2" s="1"/>
  <c r="I829" i="2"/>
  <c r="K829" i="2" s="1"/>
  <c r="I205" i="2"/>
  <c r="K205" i="2" s="1"/>
  <c r="I118" i="2"/>
  <c r="K118" i="2" s="1"/>
  <c r="I503" i="2"/>
  <c r="K503" i="2" s="1"/>
  <c r="I795" i="2"/>
  <c r="K795" i="2" s="1"/>
  <c r="I771" i="2"/>
  <c r="K771" i="2" s="1"/>
  <c r="I646" i="2"/>
  <c r="K646" i="2" s="1"/>
  <c r="I192" i="2"/>
  <c r="K192" i="2" s="1"/>
  <c r="I453" i="2"/>
  <c r="K453" i="2" s="1"/>
  <c r="I370" i="2"/>
  <c r="K370" i="2" s="1"/>
  <c r="I879" i="2"/>
  <c r="K879" i="2" s="1"/>
  <c r="I990" i="2"/>
  <c r="K990" i="2" s="1"/>
  <c r="I206" i="2"/>
  <c r="K206" i="2" s="1"/>
  <c r="I705" i="2"/>
  <c r="K705" i="2" s="1"/>
  <c r="I281" i="2"/>
  <c r="K281" i="2" s="1"/>
  <c r="I142" i="2"/>
  <c r="K142" i="2" s="1"/>
  <c r="I1001" i="2"/>
  <c r="K1001" i="2" s="1"/>
  <c r="I607" i="2"/>
  <c r="K607" i="2" s="1"/>
  <c r="I345" i="2"/>
  <c r="K345" i="2" s="1"/>
  <c r="I490" i="2"/>
  <c r="K490" i="2" s="1"/>
  <c r="I440" i="2"/>
  <c r="K440" i="2" s="1"/>
  <c r="I337" i="2"/>
  <c r="K337" i="2" s="1"/>
  <c r="I562" i="2"/>
  <c r="K562" i="2" s="1"/>
  <c r="I803" i="2"/>
  <c r="K803" i="2" s="1"/>
  <c r="I985" i="2"/>
  <c r="K985" i="2" s="1"/>
  <c r="I635" i="2"/>
  <c r="K635" i="2" s="1"/>
  <c r="I183" i="2"/>
  <c r="K183" i="2" s="1"/>
  <c r="I257" i="2"/>
  <c r="K257" i="2" s="1"/>
  <c r="I324" i="2"/>
  <c r="K324" i="2" s="1"/>
  <c r="I668" i="2"/>
  <c r="K668" i="2" s="1"/>
  <c r="I309" i="2"/>
  <c r="K309" i="2" s="1"/>
  <c r="I331" i="2"/>
  <c r="K331" i="2" s="1"/>
  <c r="I81" i="2"/>
  <c r="K81" i="2" s="1"/>
  <c r="I974" i="2"/>
  <c r="K974" i="2" s="1"/>
  <c r="I3" i="2"/>
  <c r="K3" i="2" s="1"/>
  <c r="I787" i="2"/>
  <c r="K787" i="2" s="1"/>
  <c r="I867" i="2"/>
  <c r="K867" i="2" s="1"/>
  <c r="I893" i="2"/>
  <c r="K893" i="2" s="1"/>
  <c r="I733" i="2"/>
  <c r="K733" i="2" s="1"/>
  <c r="I178" i="2"/>
  <c r="K178" i="2" s="1"/>
  <c r="I110" i="2"/>
  <c r="K110" i="2" s="1"/>
  <c r="I747" i="2"/>
  <c r="K747" i="2" s="1"/>
  <c r="I55" i="2"/>
  <c r="K55" i="2" s="1"/>
  <c r="I780" i="2"/>
  <c r="K780" i="2" s="1"/>
  <c r="I822" i="2"/>
  <c r="K822" i="2" s="1"/>
  <c r="I688" i="2"/>
  <c r="K688" i="2" s="1"/>
  <c r="I527" i="2"/>
  <c r="K527" i="2" s="1"/>
  <c r="I537" i="2"/>
  <c r="K537" i="2" s="1"/>
  <c r="I349" i="2"/>
  <c r="K349" i="2" s="1"/>
  <c r="I979" i="2"/>
  <c r="K979" i="2" s="1"/>
  <c r="I238" i="2"/>
  <c r="K238" i="2" s="1"/>
  <c r="I409" i="2"/>
  <c r="K409" i="2" s="1"/>
  <c r="I669" i="2"/>
  <c r="K669" i="2" s="1"/>
  <c r="I862" i="2"/>
  <c r="K862" i="2" s="1"/>
  <c r="I614" i="2"/>
  <c r="K614" i="2" s="1"/>
  <c r="L973" i="2" l="1"/>
  <c r="L729" i="2"/>
  <c r="L376" i="2"/>
  <c r="L857" i="2"/>
  <c r="L977" i="2"/>
  <c r="L730" i="2"/>
  <c r="L49" i="2"/>
  <c r="L38" i="2"/>
  <c r="L618" i="2"/>
  <c r="L522" i="2"/>
  <c r="L465" i="2"/>
  <c r="L359" i="2"/>
  <c r="L619" i="2"/>
  <c r="L443" i="2"/>
  <c r="L653" i="2"/>
  <c r="L544" i="2"/>
  <c r="L202" i="2"/>
  <c r="L602" i="2"/>
  <c r="L53" i="2"/>
  <c r="L291" i="2"/>
  <c r="L948" i="2"/>
  <c r="L393" i="2"/>
  <c r="L242" i="2"/>
  <c r="L292" i="2"/>
  <c r="L68" i="2"/>
  <c r="L217" i="2"/>
  <c r="L981" i="2"/>
  <c r="L253" i="2"/>
  <c r="L479" i="2"/>
  <c r="L385" i="2"/>
  <c r="L801" i="2"/>
  <c r="L193" i="2"/>
  <c r="L890" i="2"/>
  <c r="L596" i="2"/>
  <c r="L832" i="2"/>
  <c r="L423" i="2"/>
  <c r="L424" i="2"/>
  <c r="L466" i="2"/>
  <c r="L690" i="2"/>
  <c r="L573" i="2"/>
  <c r="L581" i="2"/>
  <c r="L353" i="2"/>
  <c r="L203" i="2"/>
  <c r="L945" i="2"/>
  <c r="L283" i="2"/>
  <c r="L231" i="2"/>
  <c r="L671" i="2"/>
  <c r="L22" i="2"/>
  <c r="L365" i="2"/>
  <c r="L887" i="2"/>
  <c r="L497" i="2"/>
  <c r="L269" i="2"/>
  <c r="L328" i="2"/>
  <c r="L354" i="2"/>
  <c r="L471" i="2"/>
  <c r="L232" i="2"/>
  <c r="L145" i="2"/>
  <c r="L498" i="2"/>
  <c r="L116" i="2"/>
  <c r="L523" i="2"/>
  <c r="L582" i="2"/>
  <c r="L270" i="2"/>
  <c r="L907" i="2"/>
  <c r="L698" i="2"/>
  <c r="L802" i="2"/>
  <c r="L456" i="2"/>
  <c r="L743" i="2"/>
  <c r="L757" i="2"/>
  <c r="L620" i="2"/>
  <c r="L405" i="2"/>
  <c r="L842" i="2"/>
  <c r="L57" i="2"/>
  <c r="L691" i="2"/>
  <c r="L758" i="2"/>
  <c r="L603" i="2"/>
  <c r="L233" i="2"/>
  <c r="L263" i="2"/>
  <c r="L70" i="2"/>
  <c r="L112" i="2"/>
  <c r="L763" i="2"/>
  <c r="L599" i="2"/>
  <c r="L810" i="2"/>
  <c r="L16" i="2"/>
  <c r="L61" i="2"/>
  <c r="L811" i="2"/>
  <c r="L492" i="2"/>
  <c r="L929" i="2"/>
  <c r="L957" i="2"/>
  <c r="L419" i="2"/>
  <c r="L382" i="2"/>
  <c r="L505" i="2"/>
  <c r="L195" i="2"/>
  <c r="L179" i="2"/>
  <c r="L764" i="2"/>
  <c r="L797" i="2"/>
  <c r="L251" i="2"/>
  <c r="L910" i="2"/>
  <c r="L958" i="2"/>
  <c r="L772" i="2"/>
  <c r="L519" i="2"/>
  <c r="L789" i="2"/>
  <c r="L886" i="2"/>
  <c r="L726" i="2"/>
  <c r="L706" i="2"/>
  <c r="L89" i="2"/>
  <c r="L372" i="2"/>
  <c r="L454" i="2"/>
  <c r="L325" i="2"/>
  <c r="L92" i="2"/>
  <c r="L14" i="2"/>
  <c r="L520" i="2"/>
  <c r="L991" i="2"/>
  <c r="L563" i="2"/>
  <c r="L105" i="2"/>
  <c r="L840" i="2"/>
  <c r="L287" i="2"/>
  <c r="L373" i="2"/>
  <c r="L849" i="2"/>
  <c r="L129" i="2"/>
  <c r="L994" i="2"/>
  <c r="L133" i="2"/>
  <c r="L716" i="2"/>
  <c r="L627" i="2"/>
  <c r="L834" i="2"/>
  <c r="L100" i="2"/>
  <c r="L153" i="2"/>
  <c r="L316" i="2"/>
  <c r="L493" i="2"/>
  <c r="L93" i="2"/>
  <c r="L90" i="2"/>
  <c r="L648" i="2"/>
  <c r="L82" i="2"/>
  <c r="L447" i="2"/>
  <c r="L374" i="2"/>
  <c r="L791" i="2"/>
  <c r="L383" i="2"/>
  <c r="L122" i="2"/>
  <c r="L781" i="2"/>
  <c r="L592" i="2"/>
  <c r="L74" i="2"/>
  <c r="L659" i="2"/>
  <c r="L727" i="2"/>
  <c r="L326" i="2"/>
  <c r="L11" i="2"/>
  <c r="L200" i="2"/>
  <c r="L818" i="2"/>
  <c r="L24" i="2"/>
  <c r="L241" i="2"/>
  <c r="L830" i="2"/>
  <c r="L812" i="2"/>
  <c r="L134" i="2"/>
  <c r="L168" i="2"/>
  <c r="L968" i="2"/>
  <c r="L47" i="2"/>
  <c r="L896" i="2"/>
  <c r="L735" i="2"/>
  <c r="L411" i="2"/>
  <c r="L148" i="2"/>
  <c r="L521" i="2"/>
  <c r="L180" i="2"/>
  <c r="L616" i="2"/>
  <c r="L799" i="2"/>
  <c r="L363" i="2"/>
  <c r="L83" i="2"/>
  <c r="L783" i="2"/>
  <c r="L737" i="2"/>
  <c r="L494" i="2"/>
  <c r="L738" i="2"/>
  <c r="L696" i="2"/>
  <c r="L774" i="2"/>
  <c r="L84" i="2"/>
  <c r="L75" i="2"/>
  <c r="L617" i="2"/>
  <c r="L610" i="2"/>
  <c r="L102" i="2"/>
  <c r="L508" i="2"/>
  <c r="L755" i="2"/>
  <c r="L421" i="2"/>
  <c r="L332" i="2"/>
  <c r="L67" i="2"/>
  <c r="L689" i="2"/>
  <c r="L831" i="2"/>
  <c r="L793" i="2"/>
  <c r="L721" i="2"/>
  <c r="L717" i="2"/>
  <c r="L571" i="2"/>
  <c r="L765" i="2"/>
  <c r="L44" i="2"/>
  <c r="L58" i="2"/>
  <c r="L805" i="2"/>
  <c r="L739" i="2"/>
  <c r="L740" i="2"/>
  <c r="L940" i="2"/>
  <c r="L364" i="2"/>
  <c r="L718" i="2"/>
  <c r="L413" i="2"/>
  <c r="L478" i="2"/>
  <c r="L463" i="2"/>
  <c r="L749" i="2"/>
  <c r="L317" i="2"/>
  <c r="L806" i="2"/>
  <c r="L103" i="2"/>
  <c r="L935" i="2"/>
  <c r="L5" i="2"/>
  <c r="L96" i="2"/>
  <c r="L30" i="2"/>
  <c r="L856" i="2"/>
  <c r="L404" i="2"/>
  <c r="L76" i="2"/>
  <c r="L106" i="2"/>
  <c r="L422" i="2"/>
  <c r="L509" i="2"/>
  <c r="L630" i="2"/>
  <c r="L289" i="2"/>
  <c r="L595" i="2"/>
  <c r="L333" i="2"/>
  <c r="L649" i="2"/>
  <c r="L449" i="2"/>
  <c r="L327" i="2"/>
  <c r="L305" i="2"/>
  <c r="L282" i="2"/>
  <c r="L208" i="2"/>
  <c r="L268" i="2"/>
  <c r="L201" i="2"/>
  <c r="L346" i="2"/>
  <c r="L819" i="2"/>
  <c r="L347" i="2"/>
  <c r="L962" i="2"/>
  <c r="L837" i="2"/>
  <c r="L969" i="2"/>
  <c r="L98" i="2"/>
  <c r="L715" i="2"/>
  <c r="L734" i="2"/>
  <c r="L960" i="2"/>
  <c r="L34" i="2"/>
  <c r="L401" i="2"/>
  <c r="L99" i="2"/>
  <c r="L184" i="2"/>
  <c r="L56" i="2"/>
  <c r="L624" i="2"/>
  <c r="L636" i="2"/>
  <c r="L166" i="2"/>
  <c r="L652" i="2"/>
  <c r="L925" i="2"/>
  <c r="L6" i="2"/>
  <c r="L52" i="2"/>
  <c r="L239" i="2"/>
  <c r="L427" i="2"/>
  <c r="L543" i="2"/>
  <c r="L111" i="2"/>
  <c r="L591" i="2"/>
  <c r="L678" i="2"/>
  <c r="L625" i="2"/>
  <c r="L276" i="2"/>
  <c r="L555" i="2"/>
  <c r="L491" i="2"/>
  <c r="L516" i="2"/>
  <c r="L608" i="2"/>
  <c r="L350" i="2"/>
  <c r="L380" i="2"/>
  <c r="L32" i="2"/>
  <c r="L934" i="2"/>
  <c r="L808" i="2"/>
  <c r="L788" i="2"/>
  <c r="L240" i="2"/>
  <c r="L880" i="2"/>
  <c r="L223" i="2"/>
  <c r="L224" i="2"/>
  <c r="L441" i="2"/>
  <c r="L258" i="2"/>
  <c r="L357" i="2"/>
  <c r="L162" i="2"/>
  <c r="L259" i="2"/>
  <c r="L303" i="2"/>
  <c r="L568" i="2"/>
  <c r="L517" i="2"/>
  <c r="L848" i="2"/>
  <c r="L143" i="2"/>
  <c r="L579" i="2"/>
  <c r="L64" i="2"/>
  <c r="L809" i="2"/>
  <c r="L816" i="2"/>
  <c r="L26" i="2"/>
  <c r="L881" i="2"/>
  <c r="L144" i="2"/>
  <c r="L249" i="2"/>
  <c r="L2" i="2"/>
  <c r="L679" i="2"/>
  <c r="L20" i="2"/>
  <c r="L277" i="2"/>
  <c r="L637" i="2"/>
  <c r="L260" i="2"/>
  <c r="L371" i="2"/>
  <c r="L29" i="2"/>
  <c r="L504" i="2"/>
  <c r="L250" i="2"/>
  <c r="L163" i="2"/>
  <c r="L390" i="2"/>
  <c r="L295" i="2"/>
  <c r="L69" i="2"/>
  <c r="L247" i="2"/>
  <c r="L65" i="2"/>
  <c r="L36" i="2"/>
  <c r="L7" i="2"/>
  <c r="L796" i="2"/>
  <c r="L518" i="2"/>
  <c r="L428" i="2"/>
  <c r="L88" i="2"/>
  <c r="L66" i="2"/>
  <c r="L442" i="2"/>
  <c r="L23" i="2"/>
  <c r="L838" i="2"/>
  <c r="L402" i="2"/>
  <c r="L556" i="2"/>
  <c r="L647" i="2"/>
  <c r="L894" i="2"/>
  <c r="L381" i="2"/>
  <c r="L338" i="2"/>
  <c r="L391" i="2"/>
  <c r="L569" i="2"/>
  <c r="L600" i="2"/>
  <c r="L113" i="2"/>
  <c r="L980" i="2"/>
  <c r="L429" i="2"/>
  <c r="L927" i="2"/>
  <c r="L127" i="2"/>
  <c r="L998" i="2"/>
  <c r="L817" i="2"/>
  <c r="L351" i="2"/>
  <c r="L955" i="2"/>
  <c r="L261" i="2"/>
  <c r="L944" i="2"/>
  <c r="L601" i="2"/>
  <c r="L114" i="2"/>
  <c r="L43" i="2"/>
  <c r="L804" i="2"/>
  <c r="L167" i="2"/>
  <c r="L296" i="2"/>
  <c r="L626" i="2"/>
  <c r="L115" i="2"/>
  <c r="L798" i="2"/>
  <c r="L839" i="2"/>
  <c r="L670" i="2"/>
  <c r="L430" i="2"/>
  <c r="L403" i="2"/>
  <c r="L358" i="2"/>
  <c r="L615" i="2"/>
  <c r="L753" i="2"/>
  <c r="L754" i="2"/>
  <c r="L128" i="2"/>
  <c r="L928" i="2"/>
  <c r="L564" i="2"/>
  <c r="L565" i="2"/>
  <c r="L911" i="2"/>
  <c r="L446" i="2"/>
  <c r="L904" i="2"/>
  <c r="L680" i="2"/>
  <c r="L262" i="2"/>
  <c r="L476" i="2"/>
  <c r="L420" i="2"/>
  <c r="L410" i="2"/>
  <c r="L872" i="2"/>
  <c r="L790" i="2"/>
  <c r="L455" i="2"/>
  <c r="L207" i="2"/>
  <c r="L173" i="2"/>
  <c r="L748" i="2"/>
  <c r="L658" i="2"/>
  <c r="L392" i="2"/>
  <c r="L506" i="2"/>
  <c r="L782" i="2"/>
  <c r="L792" i="2"/>
  <c r="L185" i="2"/>
  <c r="L905" i="2"/>
  <c r="L895" i="2"/>
  <c r="L570" i="2"/>
  <c r="L431" i="2"/>
  <c r="L304" i="2"/>
  <c r="L362" i="2"/>
  <c r="L593" i="2"/>
  <c r="L477" i="2"/>
  <c r="L507" i="2"/>
  <c r="L773" i="2"/>
  <c r="L854" i="2"/>
  <c r="L432" i="2"/>
  <c r="L825" i="2"/>
  <c r="L835" i="2"/>
  <c r="L123" i="2"/>
  <c r="L736" i="2"/>
  <c r="L412" i="2"/>
  <c r="L297" i="2"/>
  <c r="L448" i="2"/>
  <c r="L154" i="2"/>
  <c r="L495" i="2"/>
  <c r="L660" i="2"/>
  <c r="L638" i="2"/>
  <c r="L976" i="2"/>
  <c r="L609" i="2"/>
  <c r="L628" i="2"/>
  <c r="L961" i="2"/>
  <c r="L384" i="2"/>
  <c r="L155" i="2"/>
  <c r="L855" i="2"/>
  <c r="L950" i="2"/>
  <c r="L728" i="2"/>
  <c r="L94" i="2"/>
  <c r="L775" i="2"/>
  <c r="L41" i="2"/>
  <c r="L939" i="2"/>
  <c r="L800" i="2"/>
  <c r="L580" i="2"/>
  <c r="L288" i="2"/>
  <c r="L352" i="2"/>
  <c r="L572" i="2"/>
  <c r="L873" i="2"/>
  <c r="L174" i="2"/>
  <c r="L639" i="2"/>
  <c r="L496" i="2"/>
  <c r="L95" i="2"/>
  <c r="L156" i="2"/>
  <c r="L310" i="2"/>
  <c r="L433" i="2"/>
  <c r="L863" i="2"/>
  <c r="L469" i="2"/>
  <c r="L722" i="2"/>
  <c r="L741" i="2"/>
  <c r="L45" i="2"/>
  <c r="L318" i="2"/>
  <c r="L756" i="2"/>
  <c r="L375" i="2"/>
  <c r="L227" i="2"/>
  <c r="L952" i="2"/>
  <c r="L594" i="2"/>
  <c r="L9" i="2"/>
  <c r="L228" i="2"/>
  <c r="L629" i="2"/>
  <c r="L697" i="2"/>
  <c r="L936" i="2"/>
  <c r="L784" i="2"/>
  <c r="L252" i="2"/>
  <c r="L169" i="2"/>
  <c r="L470" i="2"/>
  <c r="L267" i="2"/>
  <c r="L906" i="2"/>
  <c r="L841" i="2"/>
  <c r="L13" i="2"/>
  <c r="L290" i="2"/>
  <c r="L196" i="2"/>
  <c r="L742" i="2"/>
  <c r="L640" i="2"/>
  <c r="L464" i="2"/>
  <c r="L996" i="2"/>
  <c r="L675" i="2"/>
  <c r="L294" i="2"/>
  <c r="L700" i="2"/>
  <c r="L711" i="2"/>
  <c r="L761" i="2"/>
  <c r="L320" i="2"/>
  <c r="L576" i="2"/>
  <c r="L230" i="2"/>
  <c r="L525" i="2"/>
  <c r="L348" i="2"/>
  <c r="L673" i="2"/>
  <c r="L949" i="2"/>
  <c r="L541" i="2"/>
  <c r="L731" i="2"/>
  <c r="L414" i="2"/>
  <c r="L529" i="2"/>
  <c r="L415" i="2"/>
  <c r="L171" i="2"/>
  <c r="L921" i="2"/>
  <c r="L674" i="2"/>
  <c r="L468" i="2"/>
  <c r="L408" i="2"/>
  <c r="L460" i="2"/>
  <c r="L514" i="2"/>
  <c r="L225" i="2"/>
  <c r="L859" i="2"/>
  <c r="L530" i="2"/>
  <c r="L724" i="2"/>
  <c r="L547" i="2"/>
  <c r="L160" i="2"/>
  <c r="L665" i="2"/>
  <c r="L751" i="2"/>
  <c r="L983" i="2"/>
  <c r="L28" i="2"/>
  <c r="L21" i="2"/>
  <c r="L416" i="2"/>
  <c r="L992" i="2"/>
  <c r="L712" i="2"/>
  <c r="L713" i="2"/>
  <c r="L139" i="2"/>
  <c r="L938" i="2"/>
  <c r="L140" i="2"/>
  <c r="L701" i="2"/>
  <c r="L651" i="2"/>
  <c r="L702" i="2"/>
  <c r="L211" i="2"/>
  <c r="L882" i="2"/>
  <c r="L844" i="2"/>
  <c r="L461" i="2"/>
  <c r="L585" i="2"/>
  <c r="L366" i="2"/>
  <c r="L820" i="2"/>
  <c r="L417" i="2"/>
  <c r="L902" i="2"/>
  <c r="L397" i="2"/>
  <c r="L336" i="2"/>
  <c r="L444" i="2"/>
  <c r="L25" i="2"/>
  <c r="L888" i="2"/>
  <c r="L172" i="2"/>
  <c r="L941" i="2"/>
  <c r="L865" i="2"/>
  <c r="L997" i="2"/>
  <c r="L836" i="2"/>
  <c r="L824" i="2"/>
  <c r="L484" i="2"/>
  <c r="L898" i="2"/>
  <c r="L666" i="2"/>
  <c r="L988" i="2"/>
  <c r="L694" i="2"/>
  <c r="L827" i="2"/>
  <c r="L485" i="2"/>
  <c r="L243" i="2"/>
  <c r="L876" i="2"/>
  <c r="L71" i="2"/>
  <c r="L48" i="2"/>
  <c r="L695" i="2"/>
  <c r="L613" i="2"/>
  <c r="L264" i="2"/>
  <c r="L860" i="2"/>
  <c r="L42" i="2"/>
  <c r="L681" i="2"/>
  <c r="L79" i="2"/>
  <c r="L951" i="2"/>
  <c r="L91" i="2"/>
  <c r="L212" i="2"/>
  <c r="L314" i="2"/>
  <c r="L889" i="2"/>
  <c r="L378" i="2"/>
  <c r="L682" i="2"/>
  <c r="L265" i="2"/>
  <c r="L683" i="2"/>
  <c r="L109" i="2"/>
  <c r="L845" i="2"/>
  <c r="L486" i="2"/>
  <c r="L151" i="2"/>
  <c r="L684" i="2"/>
  <c r="L598" i="2"/>
  <c r="L462" i="2"/>
  <c r="L221" i="2"/>
  <c r="L899" i="2"/>
  <c r="L531" i="2"/>
  <c r="L500" i="2"/>
  <c r="L732" i="2"/>
  <c r="L877" i="2"/>
  <c r="L198" i="2"/>
  <c r="L954" i="2"/>
  <c r="L194" i="2"/>
  <c r="L548" i="2"/>
  <c r="L266" i="2"/>
  <c r="L667" i="2"/>
  <c r="L356" i="2"/>
  <c r="L833" i="2"/>
  <c r="L342" i="2"/>
  <c r="L307" i="2"/>
  <c r="L621" i="2"/>
  <c r="L549" i="2"/>
  <c r="L436" i="2"/>
  <c r="L586" i="2"/>
  <c r="L254" i="2"/>
  <c r="L329" i="2"/>
  <c r="L846" i="2"/>
  <c r="L768" i="2"/>
  <c r="L942" i="2"/>
  <c r="L213" i="2"/>
  <c r="L526" i="2"/>
  <c r="L452" i="2"/>
  <c r="L892" i="2"/>
  <c r="L943" i="2"/>
  <c r="L918" i="2"/>
  <c r="L121" i="2"/>
  <c r="L807" i="2"/>
  <c r="L159" i="2"/>
  <c r="L343" i="2"/>
  <c r="L399" i="2"/>
  <c r="L551" i="2"/>
  <c r="L778" i="2"/>
  <c r="L255" i="2"/>
  <c r="L280" i="2"/>
  <c r="L861" i="2"/>
  <c r="L308" i="2"/>
  <c r="L853" i="2"/>
  <c r="L126" i="2"/>
  <c r="L438" i="2"/>
  <c r="L400" i="2"/>
  <c r="L779" i="2"/>
  <c r="L214" i="2"/>
  <c r="L606" i="2"/>
  <c r="L60" i="2"/>
  <c r="L245" i="2"/>
  <c r="L17" i="2"/>
  <c r="L704" i="2"/>
  <c r="L222" i="2"/>
  <c r="L909" i="2"/>
  <c r="L919" i="2"/>
  <c r="L215" i="2"/>
  <c r="L445" i="2"/>
  <c r="L274" i="2"/>
  <c r="L73" i="2"/>
  <c r="L104" i="2"/>
  <c r="L656" i="2"/>
  <c r="L367" i="2"/>
  <c r="L633" i="2"/>
  <c r="L368" i="2"/>
  <c r="L176" i="2"/>
  <c r="L532" i="2"/>
  <c r="L35" i="2"/>
  <c r="L752" i="2"/>
  <c r="L917" i="2"/>
  <c r="L161" i="2"/>
  <c r="L869" i="2"/>
  <c r="L165" i="2"/>
  <c r="L244" i="2"/>
  <c r="L870" i="2"/>
  <c r="L40" i="2"/>
  <c r="L714" i="2"/>
  <c r="L10" i="2"/>
  <c r="L398" i="2"/>
  <c r="L279" i="2"/>
  <c r="L226" i="2"/>
  <c r="L418" i="2"/>
  <c r="L542" i="2"/>
  <c r="L866" i="2"/>
  <c r="L86" i="2"/>
  <c r="L437" i="2"/>
  <c r="L550" i="2"/>
  <c r="L767" i="2"/>
  <c r="L315" i="2"/>
  <c r="L188" i="2"/>
  <c r="L533" i="2"/>
  <c r="L720" i="2"/>
  <c r="L967" i="2"/>
  <c r="L883" i="2"/>
  <c r="L703" i="2"/>
  <c r="L725" i="2"/>
  <c r="L577" i="2"/>
  <c r="L39" i="2"/>
  <c r="L762" i="2"/>
  <c r="L189" i="2"/>
  <c r="L897" i="2"/>
  <c r="L676" i="2"/>
  <c r="L999" i="2"/>
  <c r="L499" i="2"/>
  <c r="L197" i="2"/>
  <c r="L124" i="2"/>
  <c r="L611" i="2"/>
  <c r="L900" i="2"/>
  <c r="L406" i="2"/>
  <c r="L920" i="2"/>
  <c r="L15" i="2"/>
  <c r="L480" i="2"/>
  <c r="L864" i="2"/>
  <c r="L813" i="2"/>
  <c r="L901" i="2"/>
  <c r="L510" i="2"/>
  <c r="L794" i="2"/>
  <c r="L339" i="2"/>
  <c r="L953" i="2"/>
  <c r="L723" i="2"/>
  <c r="L481" i="2"/>
  <c r="L641" i="2"/>
  <c r="L355" i="2"/>
  <c r="L583" i="2"/>
  <c r="L566" i="2"/>
  <c r="L204" i="2"/>
  <c r="L425" i="2"/>
  <c r="L136" i="2"/>
  <c r="L597" i="2"/>
  <c r="L186" i="2"/>
  <c r="L538" i="2"/>
  <c r="L248" i="2"/>
  <c r="L823" i="2"/>
  <c r="L692" i="2"/>
  <c r="L434" i="2"/>
  <c r="L891" i="2"/>
  <c r="L908" i="2"/>
  <c r="L334" i="2"/>
  <c r="L435" i="2"/>
  <c r="L130" i="2"/>
  <c r="L574" i="2"/>
  <c r="L472" i="2"/>
  <c r="L631" i="2"/>
  <c r="L766" i="2"/>
  <c r="L956" i="2"/>
  <c r="L278" i="2"/>
  <c r="L966" i="2"/>
  <c r="L125" i="2"/>
  <c r="L826" i="2"/>
  <c r="L482" i="2"/>
  <c r="L209" i="2"/>
  <c r="L759" i="2"/>
  <c r="L930" i="2"/>
  <c r="L642" i="2"/>
  <c r="L150" i="2"/>
  <c r="L181" i="2"/>
  <c r="L271" i="2"/>
  <c r="L946" i="2"/>
  <c r="L850" i="2"/>
  <c r="L843" i="2"/>
  <c r="L575" i="2"/>
  <c r="L654" i="2"/>
  <c r="L672" i="2"/>
  <c r="L234" i="2"/>
  <c r="L914" i="2"/>
  <c r="L319" i="2"/>
  <c r="L182" i="2"/>
  <c r="L131" i="2"/>
  <c r="L340" i="2"/>
  <c r="L272" i="2"/>
  <c r="L50" i="2"/>
  <c r="L27" i="2"/>
  <c r="L511" i="2"/>
  <c r="L528" i="2"/>
  <c r="L132" i="2"/>
  <c r="L298" i="2"/>
  <c r="L915" i="2"/>
  <c r="L545" i="2"/>
  <c r="L744" i="2"/>
  <c r="L218" i="2"/>
  <c r="L284" i="2"/>
  <c r="L655" i="2"/>
  <c r="L963" i="2"/>
  <c r="L567" i="2"/>
  <c r="L814" i="2"/>
  <c r="L785" i="2"/>
  <c r="L937" i="2"/>
  <c r="L386" i="2"/>
  <c r="L815" i="2"/>
  <c r="L984" i="2"/>
  <c r="L473" i="2"/>
  <c r="L387" i="2"/>
  <c r="L643" i="2"/>
  <c r="L644" i="2"/>
  <c r="L931" i="2"/>
  <c r="L62" i="2"/>
  <c r="L474" i="2"/>
  <c r="L63" i="2"/>
  <c r="L18" i="2"/>
  <c r="L512" i="2"/>
  <c r="L394" i="2"/>
  <c r="L388" i="2"/>
  <c r="L457" i="2"/>
  <c r="L707" i="2"/>
  <c r="L557" i="2"/>
  <c r="L970" i="2"/>
  <c r="L661" i="2"/>
  <c r="L85" i="2"/>
  <c r="L59" i="2"/>
  <c r="L989" i="2"/>
  <c r="L546" i="2"/>
  <c r="L157" i="2"/>
  <c r="L475" i="2"/>
  <c r="L604" i="2"/>
  <c r="L972" i="2"/>
  <c r="L229" i="2"/>
  <c r="L293" i="2"/>
  <c r="L693" i="2"/>
  <c r="L101" i="2"/>
  <c r="L612" i="2"/>
  <c r="L135" i="2"/>
  <c r="L662" i="2"/>
  <c r="L708" i="2"/>
  <c r="L584" i="2"/>
  <c r="L776" i="2"/>
  <c r="L959" i="2"/>
  <c r="L306" i="2"/>
  <c r="L175" i="2"/>
  <c r="L916" i="2"/>
  <c r="L341" i="2"/>
  <c r="L868" i="2"/>
  <c r="L539" i="2"/>
  <c r="L926" i="2"/>
  <c r="L210" i="2"/>
  <c r="L760" i="2"/>
  <c r="L8" i="2"/>
  <c r="L273" i="2"/>
  <c r="L709" i="2"/>
  <c r="L632" i="2"/>
  <c r="L137" i="2"/>
  <c r="L4" i="2"/>
  <c r="L149" i="2"/>
  <c r="L524" i="2"/>
  <c r="L987" i="2"/>
  <c r="L663" i="2"/>
  <c r="L450" i="2"/>
  <c r="L312" i="2"/>
  <c r="L187" i="2"/>
  <c r="L220" i="2"/>
  <c r="L285" i="2"/>
  <c r="L311" i="2"/>
  <c r="L219" i="2"/>
  <c r="L458" i="2"/>
  <c r="L119" i="2"/>
  <c r="L158" i="2"/>
  <c r="L719" i="2"/>
  <c r="L164" i="2"/>
  <c r="L335" i="2"/>
  <c r="L377" i="2"/>
  <c r="L313" i="2"/>
  <c r="L964" i="2"/>
  <c r="L605" i="2"/>
  <c r="L947" i="2"/>
  <c r="L451" i="2"/>
  <c r="L33" i="2"/>
  <c r="L858" i="2"/>
  <c r="L912" i="2"/>
  <c r="L513" i="2"/>
  <c r="L107" i="2"/>
  <c r="L299" i="2"/>
  <c r="L170" i="2"/>
  <c r="L978" i="2"/>
  <c r="L300" i="2"/>
  <c r="L995" i="2"/>
  <c r="L467" i="2"/>
  <c r="L138" i="2"/>
  <c r="L120" i="2"/>
  <c r="L108" i="2"/>
  <c r="L459" i="2"/>
  <c r="L483" i="2"/>
  <c r="L650" i="2"/>
  <c r="L851" i="2"/>
  <c r="L852" i="2"/>
  <c r="L540" i="2"/>
  <c r="L710" i="2"/>
  <c r="L913" i="2"/>
  <c r="L777" i="2"/>
  <c r="L664" i="2"/>
  <c r="L78" i="2"/>
  <c r="L875" i="2"/>
  <c r="L745" i="2"/>
  <c r="L750" i="2"/>
  <c r="L407" i="2"/>
  <c r="L699" i="2"/>
  <c r="L395" i="2"/>
  <c r="L396" i="2"/>
</calcChain>
</file>

<file path=xl/sharedStrings.xml><?xml version="1.0" encoding="utf-8"?>
<sst xmlns="http://schemas.openxmlformats.org/spreadsheetml/2006/main" count="10042" uniqueCount="37">
  <si>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</si>
  <si>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</si>
  <si>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</si>
  <si>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</si>
  <si>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</si>
  <si>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</si>
  <si>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</si>
  <si>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</si>
  <si>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</si>
  <si>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</si>
  <si>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</si>
  <si>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</si>
  <si>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</si>
  <si>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</si>
  <si>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</si>
  <si>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</si>
  <si>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</si>
  <si>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</si>
  <si>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</si>
  <si>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</si>
  <si>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</si>
  <si>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</si>
  <si>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</si>
  <si>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</si>
  <si>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</si>
  <si>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Percentage</t>
  </si>
  <si>
    <t>Rank</t>
  </si>
  <si>
    <t>Total Scores</t>
  </si>
  <si>
    <t>Average  Scores</t>
  </si>
  <si>
    <t>Row Labels</t>
  </si>
  <si>
    <t>Grand Total</t>
  </si>
  <si>
    <t xml:space="preserve"> Average  Scores</t>
  </si>
  <si>
    <t>Average Scores</t>
  </si>
  <si>
    <t>1. Total  Students</t>
  </si>
  <si>
    <t>2.Highest  Average Score</t>
  </si>
  <si>
    <t>3.Lowest Average Score</t>
  </si>
  <si>
    <t>4.Overall Average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</si>
</sst>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10" xfId="0" applyBorder="1"/>
    <xf numFmtId="0" fontId="18" fillId="33" borderId="10" xfId="0" applyFont="1" applyFill="1" applyBorder="1"/>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2" fontId="16" fillId="0" borderId="10" xfId="0" applyNumberFormat="1" applyFont="1" applyBorder="1" applyAlignment="1">
      <alignment horizontal="center" vertical="center"/>
    </xf>
    <xf numFmtId="10" fontId="16" fillId="0" borderId="10" xfId="0" applyNumberFormat="1" applyFont="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16" fillId="34" borderId="10" xfId="0" applyFont="1" applyFill="1" applyBorder="1" applyAlignment="1">
      <alignment horizontal="center" vertical="center"/>
    </xf>
    <xf numFmtId="1" fontId="16" fillId="0" borderId="10" xfId="0" applyNumberFormat="1"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[student_report_analysis.xlsx]Pivot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Average</a:t>
            </a:r>
            <a:r>
              <a:rPr lang="en-US" baseline="0">
                <a:solidFill>
                  <a:schemeClr val="lt1"/>
                </a:solidFill>
                <a:latin typeface="+mn-lt"/>
                <a:ea typeface="+mn-ea"/>
                <a:cs typeface="+mn-cs"/>
              </a:rPr>
              <a:t> Score by Gender</a:t>
            </a:r>
          </a:p>
          <a:p>
            <a:pPr>
              <a:defRPr>
                <a:solidFill>
                  <a:schemeClr val="lt1"/>
                </a:solidFill>
              </a:defRPr>
            </a:pPr>
            <a:endParaRPr lang="en-US"/>
          </a:p>
        </c:rich>
      </c:tx>
      <c:overlay val="0"/>
      <c:spPr>
        <a:solidFill>
          <a:schemeClr val="accent3"/>
        </a:solidFill>
        <a:ln w="19050" cap="flat" cmpd="sng" algn="ctr">
          <a:solidFill>
            <a:schemeClr val="accent3">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3"/>
            </a:solidFill>
            <a:ln>
              <a:noFill/>
            </a:ln>
            <a:effectLst/>
          </c:spPr>
          <c:invertIfNegative val="0"/>
          <c:cat>
            <c:strRef>
              <c:f>'Pivot Table'!$A$4:$A$6</c:f>
              <c:strCache>
                <c:ptCount val="2"/>
                <c:pt idx="0">
                  <c:v>female</c:v>
                </c:pt>
                <c:pt idx="1">
                  <c:v>male</c:v>
                </c:pt>
              </c:strCache>
            </c:strRef>
          </c:cat>
          <c:val>
            <c:numRef>
              <c:f>'Pivot Table'!$B$4:$B$6</c:f>
              <c:numCache>
                <c:formatCode>0.00</c:formatCode>
                <c:ptCount val="2"/>
                <c:pt idx="0">
                  <c:v>69.569498069498039</c:v>
                </c:pt>
                <c:pt idx="1">
                  <c:v>65.837482710926693</c:v>
                </c:pt>
              </c:numCache>
            </c:numRef>
          </c:val>
          <c:extLst>
            <c:ext xmlns:c16="http://schemas.microsoft.com/office/drawing/2014/chart" uri="{C3380CC4-5D6E-409C-BE32-E72D297353CC}">
              <c16:uniqueId val="{00000000-D3B4-4CBE-B4C1-7CDD70F83CB0}"/>
            </c:ext>
          </c:extLst>
        </c:ser>
        <c:dLbls>
          <c:showLegendKey val="0"/>
          <c:showVal val="0"/>
          <c:showCatName val="0"/>
          <c:showSerName val="0"/>
          <c:showPercent val="0"/>
          <c:showBubbleSize val="0"/>
        </c:dLbls>
        <c:gapWidth val="219"/>
        <c:overlap val="-27"/>
        <c:axId val="1017093471"/>
        <c:axId val="972510575"/>
      </c:barChart>
      <c:catAx>
        <c:axId val="101709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10575"/>
        <c:crosses val="autoZero"/>
        <c:auto val="1"/>
        <c:lblAlgn val="ctr"/>
        <c:lblOffset val="100"/>
        <c:noMultiLvlLbl val="0"/>
      </c:catAx>
      <c:valAx>
        <c:axId val="972510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[student_report_analysis.xlsx]Pivot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Average</a:t>
            </a:r>
            <a:r>
              <a:rPr lang="en-IN" baseline="0">
                <a:solidFill>
                  <a:schemeClr val="lt1"/>
                </a:solidFill>
                <a:latin typeface="+mn-lt"/>
                <a:ea typeface="+mn-ea"/>
                <a:cs typeface="+mn-cs"/>
              </a:rPr>
              <a:t> Score by Student Group</a:t>
            </a:r>
          </a:p>
          <a:p>
            <a:pPr>
              <a:defRPr>
                <a:solidFill>
                  <a:schemeClr val="lt1"/>
                </a:solidFill>
              </a:defRPr>
            </a:pPr>
            <a:endParaRPr lang="en-IN"/>
          </a:p>
        </c:rich>
      </c:tx>
      <c:overlay val="0"/>
      <c:spPr>
        <a:solidFill>
          <a:schemeClr val="accent6"/>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6"/>
            </a:solidFill>
            <a:ln>
              <a:noFill/>
            </a:ln>
            <a:effectLst/>
          </c:spPr>
          <c:invertIfNegative val="0"/>
          <c:cat>
            <c:strRef>
              <c:f>'Pivot Table'!$A$11:$A$16</c:f>
              <c:strCache>
                <c:ptCount val="5"/>
                <c:pt idx="0">
                  <c:v>group A</c:v>
                </c:pt>
                <c:pt idx="1">
                  <c:v>group B</c:v>
                </c:pt>
                <c:pt idx="2">
                  <c:v>group C</c:v>
                </c:pt>
                <c:pt idx="3">
                  <c:v>group D</c:v>
                </c:pt>
                <c:pt idx="4">
                  <c:v>group E</c:v>
                </c:pt>
              </c:strCache>
            </c:strRef>
          </c:cat>
          <c:val>
            <c:numRef>
              <c:f>'Pivot Table'!$B$11:$B$16</c:f>
              <c:numCache>
                <c:formatCode>0.00</c:formatCode>
                <c:ptCount val="5"/>
                <c:pt idx="0">
                  <c:v>62.992509363295873</c:v>
                </c:pt>
                <c:pt idx="1">
                  <c:v>65.46842105263157</c:v>
                </c:pt>
                <c:pt idx="2">
                  <c:v>67.131661442006276</c:v>
                </c:pt>
                <c:pt idx="3">
                  <c:v>69.179389312977136</c:v>
                </c:pt>
                <c:pt idx="4">
                  <c:v>72.75238095238096</c:v>
                </c:pt>
              </c:numCache>
            </c:numRef>
          </c:val>
          <c:extLst>
            <c:ext xmlns:c16="http://schemas.microsoft.com/office/drawing/2014/chart" uri="{C3380CC4-5D6E-409C-BE32-E72D297353CC}">
              <c16:uniqueId val="{00000000-03A5-4D22-9DFE-FA77D2C63A54}"/>
            </c:ext>
          </c:extLst>
        </c:ser>
        <c:dLbls>
          <c:showLegendKey val="0"/>
          <c:showVal val="0"/>
          <c:showCatName val="0"/>
          <c:showSerName val="0"/>
          <c:showPercent val="0"/>
          <c:showBubbleSize val="0"/>
        </c:dLbls>
        <c:gapWidth val="219"/>
        <c:overlap val="-27"/>
        <c:axId val="1088397871"/>
        <c:axId val="972503855"/>
      </c:barChart>
      <c:catAx>
        <c:axId val="108839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03855"/>
        <c:crosses val="autoZero"/>
        <c:auto val="1"/>
        <c:lblAlgn val="ctr"/>
        <c:lblOffset val="100"/>
        <c:noMultiLvlLbl val="0"/>
      </c:catAx>
      <c:valAx>
        <c:axId val="972503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9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[student_report_analysis.xlsx]Pivot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Average</a:t>
            </a:r>
            <a:r>
              <a:rPr lang="en-IN" baseline="0">
                <a:solidFill>
                  <a:schemeClr val="lt1"/>
                </a:solidFill>
                <a:latin typeface="+mn-lt"/>
                <a:ea typeface="+mn-ea"/>
                <a:cs typeface="+mn-cs"/>
              </a:rPr>
              <a:t> Score by Test Preparation</a:t>
            </a:r>
            <a:endParaRPr lang="en-IN"/>
          </a:p>
        </c:rich>
      </c:tx>
      <c:overlay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5"/>
            </a:solidFill>
            <a:ln>
              <a:noFill/>
            </a:ln>
            <a:effectLst/>
          </c:spPr>
          <c:invertIfNegative val="0"/>
          <c:cat>
            <c:strRef>
              <c:f>'Pivot Table'!$A$21:$A$23</c:f>
              <c:strCache>
                <c:ptCount val="2"/>
                <c:pt idx="0">
                  <c:v>completed</c:v>
                </c:pt>
                <c:pt idx="1">
                  <c:v>none</c:v>
                </c:pt>
              </c:strCache>
            </c:strRef>
          </c:cat>
          <c:val>
            <c:numRef>
              <c:f>'Pivot Table'!$B$21:$B$23</c:f>
              <c:numCache>
                <c:formatCode>0.00</c:formatCode>
                <c:ptCount val="2"/>
                <c:pt idx="0">
                  <c:v>72.669459962756051</c:v>
                </c:pt>
                <c:pt idx="1">
                  <c:v>65.038940809968835</c:v>
                </c:pt>
              </c:numCache>
            </c:numRef>
          </c:val>
          <c:extLst>
            <c:ext xmlns:c16="http://schemas.microsoft.com/office/drawing/2014/chart" uri="{C3380CC4-5D6E-409C-BE32-E72D297353CC}">
              <c16:uniqueId val="{00000000-04D0-425B-818B-4A5480B49508}"/>
            </c:ext>
          </c:extLst>
        </c:ser>
        <c:dLbls>
          <c:showLegendKey val="0"/>
          <c:showVal val="0"/>
          <c:showCatName val="0"/>
          <c:showSerName val="0"/>
          <c:showPercent val="0"/>
          <c:showBubbleSize val="0"/>
        </c:dLbls>
        <c:gapWidth val="219"/>
        <c:overlap val="-27"/>
        <c:axId val="1209824815"/>
        <c:axId val="972509615"/>
      </c:barChart>
      <c:catAx>
        <c:axId val="120982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09615"/>
        <c:crosses val="autoZero"/>
        <c:auto val="1"/>
        <c:lblAlgn val="ctr"/>
        <c:lblOffset val="100"/>
        <c:noMultiLvlLbl val="0"/>
      </c:catAx>
      <c:valAx>
        <c:axId val="972509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82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350520</xdr:colOff>
      <xdr:row>57</xdr:row>
      <xdr:rowOff>152400</xdr:rowOff>
    </xdr:to>
    <xdr:sp macro="" textlink="">
      <xdr:nvSpPr>
        <xdr:cNvPr id="2" name="Rectangle 1">
          <a:extLst>
            <a:ext uri="{FF2B5EF4-FFF2-40B4-BE49-F238E27FC236}">
              <a16:creationId xmlns:a16="http://schemas.microsoft.com/office/drawing/2014/main" id="{A5C66F37-746A-20C8-C9AC-F1CFB51F0B77}"/>
            </a:ext>
          </a:extLst>
        </xdr:cNvPr>
        <xdr:cNvSpPr/>
      </xdr:nvSpPr>
      <xdr:spPr>
        <a:xfrm>
          <a:off x="0" y="0"/>
          <a:ext cx="23515320" cy="1057656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5</xdr:col>
      <xdr:colOff>317137</xdr:colOff>
      <xdr:row>0</xdr:row>
      <xdr:rowOff>135346</xdr:rowOff>
    </xdr:from>
    <xdr:to>
      <xdr:col>13</xdr:col>
      <xdr:colOff>480337</xdr:colOff>
      <xdr:row>4</xdr:row>
      <xdr:rowOff>123826</xdr:rowOff>
    </xdr:to>
    <xdr:sp macro="" textlink="">
      <xdr:nvSpPr>
        <xdr:cNvPr id="3" name="Rectangle: Rounded Corners 2">
          <a:extLst>
            <a:ext uri="{FF2B5EF4-FFF2-40B4-BE49-F238E27FC236}">
              <a16:creationId xmlns:a16="http://schemas.microsoft.com/office/drawing/2014/main" id="{472F6226-7BA1-E746-7B69-295E540633AE}"/>
            </a:ext>
          </a:extLst>
        </xdr:cNvPr>
        <xdr:cNvSpPr/>
      </xdr:nvSpPr>
      <xdr:spPr>
        <a:xfrm>
          <a:off x="3356066" y="135346"/>
          <a:ext cx="5025485" cy="714194"/>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800" b="0">
              <a:solidFill>
                <a:schemeClr val="bg1"/>
              </a:solidFill>
            </a:rPr>
            <a:t>STUDENT  PERFORMANCE</a:t>
          </a:r>
          <a:r>
            <a:rPr lang="en-IN" sz="1800" b="0" baseline="0">
              <a:solidFill>
                <a:schemeClr val="bg1"/>
              </a:solidFill>
            </a:rPr>
            <a:t>  ANALYSIS    DASHBOARD</a:t>
          </a:r>
        </a:p>
        <a:p>
          <a:pPr algn="l"/>
          <a:endParaRPr lang="en-IN" sz="1100"/>
        </a:p>
      </xdr:txBody>
    </xdr:sp>
    <xdr:clientData/>
  </xdr:twoCellAnchor>
  <xdr:twoCellAnchor>
    <xdr:from>
      <xdr:col>5</xdr:col>
      <xdr:colOff>330926</xdr:colOff>
      <xdr:row>5</xdr:row>
      <xdr:rowOff>19957</xdr:rowOff>
    </xdr:from>
    <xdr:to>
      <xdr:col>13</xdr:col>
      <xdr:colOff>494126</xdr:colOff>
      <xdr:row>9</xdr:row>
      <xdr:rowOff>152437</xdr:rowOff>
    </xdr:to>
    <xdr:sp macro="" textlink="">
      <xdr:nvSpPr>
        <xdr:cNvPr id="4" name="Rectangle: Rounded Corners 3">
          <a:extLst>
            <a:ext uri="{FF2B5EF4-FFF2-40B4-BE49-F238E27FC236}">
              <a16:creationId xmlns:a16="http://schemas.microsoft.com/office/drawing/2014/main" id="{77CFDFA6-2A64-5D89-9808-6F8DFF6F8008}"/>
            </a:ext>
          </a:extLst>
        </xdr:cNvPr>
        <xdr:cNvSpPr/>
      </xdr:nvSpPr>
      <xdr:spPr>
        <a:xfrm>
          <a:off x="3369855" y="927100"/>
          <a:ext cx="5025485" cy="858194"/>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1800" b="1">
              <a:solidFill>
                <a:schemeClr val="bg1"/>
              </a:solidFill>
            </a:rPr>
            <a:t>Academic   Insigths   .   Scores    .  Students  Groups</a:t>
          </a:r>
        </a:p>
      </xdr:txBody>
    </xdr:sp>
    <xdr:clientData/>
  </xdr:twoCellAnchor>
  <xdr:twoCellAnchor>
    <xdr:from>
      <xdr:col>0</xdr:col>
      <xdr:colOff>213360</xdr:colOff>
      <xdr:row>10</xdr:row>
      <xdr:rowOff>137160</xdr:rowOff>
    </xdr:from>
    <xdr:to>
      <xdr:col>3</xdr:col>
      <xdr:colOff>508560</xdr:colOff>
      <xdr:row>15</xdr:row>
      <xdr:rowOff>122760</xdr:rowOff>
    </xdr:to>
    <xdr:sp macro="" textlink="">
      <xdr:nvSpPr>
        <xdr:cNvPr id="5" name="Rectangle: Rounded Corners 4">
          <a:extLst>
            <a:ext uri="{FF2B5EF4-FFF2-40B4-BE49-F238E27FC236}">
              <a16:creationId xmlns:a16="http://schemas.microsoft.com/office/drawing/2014/main" id="{A51EAB16-A85F-86CD-776C-4C7DFA124CA9}"/>
            </a:ext>
          </a:extLst>
        </xdr:cNvPr>
        <xdr:cNvSpPr/>
      </xdr:nvSpPr>
      <xdr:spPr>
        <a:xfrm>
          <a:off x="213360" y="1965960"/>
          <a:ext cx="2124000" cy="9000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1400" b="0">
              <a:solidFill>
                <a:schemeClr val="bg1"/>
              </a:solidFill>
            </a:rPr>
            <a:t>Total  Students</a:t>
          </a:r>
        </a:p>
        <a:p>
          <a:pPr algn="ctr"/>
          <a:r>
            <a:rPr lang="en-IN" sz="1400" b="0">
              <a:solidFill>
                <a:schemeClr val="bg1"/>
              </a:solidFill>
            </a:rPr>
            <a:t> 1000</a:t>
          </a:r>
        </a:p>
        <a:p>
          <a:pPr algn="l"/>
          <a:endParaRPr lang="en-IN" sz="1100"/>
        </a:p>
      </xdr:txBody>
    </xdr:sp>
    <xdr:clientData/>
  </xdr:twoCellAnchor>
  <xdr:twoCellAnchor>
    <xdr:from>
      <xdr:col>3</xdr:col>
      <xdr:colOff>601980</xdr:colOff>
      <xdr:row>10</xdr:row>
      <xdr:rowOff>129540</xdr:rowOff>
    </xdr:from>
    <xdr:to>
      <xdr:col>7</xdr:col>
      <xdr:colOff>287580</xdr:colOff>
      <xdr:row>15</xdr:row>
      <xdr:rowOff>115140</xdr:rowOff>
    </xdr:to>
    <xdr:sp macro="" textlink="">
      <xdr:nvSpPr>
        <xdr:cNvPr id="6" name="Rectangle: Rounded Corners 5">
          <a:extLst>
            <a:ext uri="{FF2B5EF4-FFF2-40B4-BE49-F238E27FC236}">
              <a16:creationId xmlns:a16="http://schemas.microsoft.com/office/drawing/2014/main" id="{B9CF36B0-BB3E-4B80-9284-3DF8A1F54BB9}"/>
            </a:ext>
          </a:extLst>
        </xdr:cNvPr>
        <xdr:cNvSpPr/>
      </xdr:nvSpPr>
      <xdr:spPr>
        <a:xfrm>
          <a:off x="2430780" y="1958340"/>
          <a:ext cx="2124000" cy="9000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1400" b="0">
              <a:solidFill>
                <a:schemeClr val="bg1"/>
              </a:solidFill>
            </a:rPr>
            <a:t>Highest   Average  Score</a:t>
          </a:r>
        </a:p>
        <a:p>
          <a:pPr algn="ctr"/>
          <a:r>
            <a:rPr lang="en-IN" sz="1400" b="0">
              <a:solidFill>
                <a:schemeClr val="bg1"/>
              </a:solidFill>
            </a:rPr>
            <a:t>100</a:t>
          </a:r>
        </a:p>
      </xdr:txBody>
    </xdr:sp>
    <xdr:clientData/>
  </xdr:twoCellAnchor>
  <xdr:twoCellAnchor>
    <xdr:from>
      <xdr:col>7</xdr:col>
      <xdr:colOff>365760</xdr:colOff>
      <xdr:row>10</xdr:row>
      <xdr:rowOff>99060</xdr:rowOff>
    </xdr:from>
    <xdr:to>
      <xdr:col>11</xdr:col>
      <xdr:colOff>51360</xdr:colOff>
      <xdr:row>15</xdr:row>
      <xdr:rowOff>84660</xdr:rowOff>
    </xdr:to>
    <xdr:sp macro="" textlink="">
      <xdr:nvSpPr>
        <xdr:cNvPr id="7" name="Rectangle: Rounded Corners 6">
          <a:extLst>
            <a:ext uri="{FF2B5EF4-FFF2-40B4-BE49-F238E27FC236}">
              <a16:creationId xmlns:a16="http://schemas.microsoft.com/office/drawing/2014/main" id="{501D4FED-35C1-49C1-BDF8-A5AF1E0C2A9A}"/>
            </a:ext>
          </a:extLst>
        </xdr:cNvPr>
        <xdr:cNvSpPr/>
      </xdr:nvSpPr>
      <xdr:spPr>
        <a:xfrm>
          <a:off x="4632960" y="1927860"/>
          <a:ext cx="2124000" cy="9000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1400" b="0">
              <a:solidFill>
                <a:schemeClr val="bg1"/>
              </a:solidFill>
            </a:rPr>
            <a:t>Lowest  Average   Score</a:t>
          </a:r>
        </a:p>
        <a:p>
          <a:pPr algn="ctr"/>
          <a:r>
            <a:rPr lang="en-IN" sz="1400" b="0">
              <a:solidFill>
                <a:schemeClr val="bg1"/>
              </a:solidFill>
            </a:rPr>
            <a:t>9</a:t>
          </a:r>
        </a:p>
      </xdr:txBody>
    </xdr:sp>
    <xdr:clientData/>
  </xdr:twoCellAnchor>
  <xdr:twoCellAnchor>
    <xdr:from>
      <xdr:col>11</xdr:col>
      <xdr:colOff>152400</xdr:colOff>
      <xdr:row>10</xdr:row>
      <xdr:rowOff>114300</xdr:rowOff>
    </xdr:from>
    <xdr:to>
      <xdr:col>14</xdr:col>
      <xdr:colOff>447600</xdr:colOff>
      <xdr:row>15</xdr:row>
      <xdr:rowOff>99900</xdr:rowOff>
    </xdr:to>
    <xdr:sp macro="" textlink="">
      <xdr:nvSpPr>
        <xdr:cNvPr id="9" name="Rectangle: Rounded Corners 8">
          <a:extLst>
            <a:ext uri="{FF2B5EF4-FFF2-40B4-BE49-F238E27FC236}">
              <a16:creationId xmlns:a16="http://schemas.microsoft.com/office/drawing/2014/main" id="{625861AD-C9DB-4EDC-A147-B474CD1E3B86}"/>
            </a:ext>
          </a:extLst>
        </xdr:cNvPr>
        <xdr:cNvSpPr/>
      </xdr:nvSpPr>
      <xdr:spPr>
        <a:xfrm>
          <a:off x="6858000" y="1943100"/>
          <a:ext cx="2124000" cy="9000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lang="en-IN" sz="1400" b="0">
              <a:solidFill>
                <a:schemeClr val="bg1"/>
              </a:solidFill>
            </a:rPr>
            <a:t>Overall</a:t>
          </a:r>
          <a:r>
            <a:rPr lang="en-IN" sz="1400" b="0" baseline="0">
              <a:solidFill>
                <a:schemeClr val="bg1"/>
              </a:solidFill>
            </a:rPr>
            <a:t>  Average  Score</a:t>
          </a:r>
        </a:p>
        <a:p>
          <a:pPr algn="ctr"/>
          <a:r>
            <a:rPr lang="en-IN" sz="1400" b="0" baseline="0">
              <a:solidFill>
                <a:schemeClr val="bg1"/>
              </a:solidFill>
            </a:rPr>
            <a:t>67.77</a:t>
          </a:r>
        </a:p>
        <a:p>
          <a:pPr algn="l"/>
          <a:endParaRPr lang="en-IN" sz="1100"/>
        </a:p>
      </xdr:txBody>
    </xdr:sp>
    <xdr:clientData/>
  </xdr:twoCellAnchor>
  <xdr:twoCellAnchor>
    <xdr:from>
      <xdr:col>0</xdr:col>
      <xdr:colOff>160020</xdr:colOff>
      <xdr:row>16</xdr:row>
      <xdr:rowOff>76200</xdr:rowOff>
    </xdr:from>
    <xdr:to>
      <xdr:col>7</xdr:col>
      <xdr:colOff>392820</xdr:colOff>
      <xdr:row>31</xdr:row>
      <xdr:rowOff>105000</xdr:rowOff>
    </xdr:to>
    <xdr:graphicFrame macro="">
      <xdr:nvGraphicFramePr>
        <xdr:cNvPr id="10" name="Chart 9">
          <a:extLst>
            <a:ext uri="{FF2B5EF4-FFF2-40B4-BE49-F238E27FC236}">
              <a16:creationId xmlns:a16="http://schemas.microsoft.com/office/drawing/2014/main" id="{8252A4F0-74DB-433B-B4FC-4F89EEEED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434340</xdr:colOff>
      <xdr:row>16</xdr:row>
      <xdr:rowOff>83820</xdr:rowOff>
    </xdr:from>
    <xdr:to>
      <xdr:col>15</xdr:col>
      <xdr:colOff>57540</xdr:colOff>
      <xdr:row>31</xdr:row>
      <xdr:rowOff>112620</xdr:rowOff>
    </xdr:to>
    <xdr:graphicFrame macro="">
      <xdr:nvGraphicFramePr>
        <xdr:cNvPr id="13" name="Chart 12">
          <a:extLst>
            <a:ext uri="{FF2B5EF4-FFF2-40B4-BE49-F238E27FC236}">
              <a16:creationId xmlns:a16="http://schemas.microsoft.com/office/drawing/2014/main" id="{A70C0F01-EB52-462F-B93B-835ACFD2E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114300</xdr:colOff>
      <xdr:row>16</xdr:row>
      <xdr:rowOff>83820</xdr:rowOff>
    </xdr:from>
    <xdr:to>
      <xdr:col>22</xdr:col>
      <xdr:colOff>347100</xdr:colOff>
      <xdr:row>31</xdr:row>
      <xdr:rowOff>112620</xdr:rowOff>
    </xdr:to>
    <xdr:graphicFrame macro="">
      <xdr:nvGraphicFramePr>
        <xdr:cNvPr id="14" name="Chart 13">
          <a:extLst>
            <a:ext uri="{FF2B5EF4-FFF2-40B4-BE49-F238E27FC236}">
              <a16:creationId xmlns:a16="http://schemas.microsoft.com/office/drawing/2014/main" id="{ABDB16C2-FD03-4749-B8CA-39347F275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106680</xdr:colOff>
      <xdr:row>1</xdr:row>
      <xdr:rowOff>152400</xdr:rowOff>
    </xdr:from>
    <xdr:to>
      <xdr:col>18</xdr:col>
      <xdr:colOff>77880</xdr:colOff>
      <xdr:row>15</xdr:row>
      <xdr:rowOff>112080</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8BAE67F2-E3E4-497F-8096-5F9A444A5D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223466" y="333829"/>
              <a:ext cx="1794557" cy="249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1</xdr:row>
      <xdr:rowOff>152400</xdr:rowOff>
    </xdr:from>
    <xdr:to>
      <xdr:col>21</xdr:col>
      <xdr:colOff>123600</xdr:colOff>
      <xdr:row>15</xdr:row>
      <xdr:rowOff>112080</xdr:rowOff>
    </xdr:to>
    <mc:AlternateContent xmlns:mc="http://schemas.openxmlformats.org/markup-compatibility/2006">
      <mc:Choice xmlns:a14="http://schemas.microsoft.com/office/drawing/2010/main" Requires="a14">
        <xdr:graphicFrame macro="">
          <xdr:nvGraphicFramePr>
            <xdr:cNvPr id="18" name="race/ethnicity">
              <a:extLst>
                <a:ext uri="{FF2B5EF4-FFF2-40B4-BE49-F238E27FC236}">
                  <a16:creationId xmlns:a16="http://schemas.microsoft.com/office/drawing/2014/main" id="{6F738A60-0AFF-4B80-852E-1A6D379F6109}"/>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dr:sp macro="" textlink="">
          <xdr:nvSpPr>
            <xdr:cNvPr id="0" name=""/>
            <xdr:cNvSpPr>
              <a:spLocks noTextEdit="1"/>
            </xdr:cNvSpPr>
          </xdr:nvSpPr>
          <xdr:spPr>
            <a:xfrm>
              <a:off x="11092543" y="333829"/>
              <a:ext cx="1794557" cy="249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198120</xdr:colOff>
      <xdr:row>1</xdr:row>
      <xdr:rowOff>160020</xdr:rowOff>
    </xdr:from>
    <xdr:to>
      <xdr:col>24</xdr:col>
      <xdr:colOff>169320</xdr:colOff>
      <xdr:row>15</xdr:row>
      <xdr:rowOff>119700</xdr:rowOff>
    </xdr:to>
    <mc:AlternateContent xmlns:mc="http://schemas.openxmlformats.org/markup-compatibility/2006">
      <mc:Choice xmlns:a14="http://schemas.microsoft.com/office/drawing/2010/main" Requires="a14">
        <xdr:graphicFrame macro="">
          <xdr:nvGraphicFramePr>
            <xdr:cNvPr id="19" name="test preparation course">
              <a:extLst>
                <a:ext uri="{FF2B5EF4-FFF2-40B4-BE49-F238E27FC236}">
                  <a16:creationId xmlns:a16="http://schemas.microsoft.com/office/drawing/2014/main" id="{A58B3843-E1A2-4774-8D3F-D1E034654ECA}"/>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dr:sp macro="" textlink="">
          <xdr:nvSpPr>
            <xdr:cNvPr id="0" name=""/>
            <xdr:cNvSpPr>
              <a:spLocks noTextEdit="1"/>
            </xdr:cNvSpPr>
          </xdr:nvSpPr>
          <xdr:spPr>
            <a:xfrm>
              <a:off x="12961620" y="341449"/>
              <a:ext cx="1794557" cy="249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318.966982638885" createdVersion="8" refreshedVersion="8" minRefreshableVersion="3" recordCount="1000" xr:uid="{86AFC82F-3BEF-4C3D-98EC-13FAC8293AFE}">
  <cacheSource type="worksheet">
    <worksheetSource ref="A1:L1001" sheet="Student Analysis"/>
  </cacheSource>
  <cacheFields count="12">
    <cacheField name="gender" numFmtId="0">
      <sharedItems count="2">
        <s v="female"/>
        <s v="male"/>
      </sharedItems>
    </cacheField>
    <cacheField name="race/ethnicity" numFmtId="0">
      <sharedItems count="5">
        <s v="group C"/>
        <s v="group B"/>
        <s v="group A"/>
        <s v="group E"/>
        <s v="group D"/>
      </sharedItems>
    </cacheField>
    <cacheField name="parental level of education" numFmtId="0">
      <sharedItems/>
    </cacheField>
    <cacheField name="lunch" numFmtId="0">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Total Scores" numFmtId="0">
      <sharedItems containsSemiMixedTypes="0" containsString="0" containsNumber="1" containsInteger="1" minValue="27" maxValue="300"/>
    </cacheField>
    <cacheField name="Average  Scores" numFmtId="2">
      <sharedItems containsSemiMixedTypes="0" containsString="0" containsNumber="1" minValue="9" maxValue="100"/>
    </cacheField>
    <cacheField name="Percentage" numFmtId="10">
      <sharedItems containsSemiMixedTypes="0" containsString="0" containsNumber="1" minValue="0.09" maxValue="1"/>
    </cacheField>
    <cacheField name="Rank" numFmtId="0">
      <sharedItems containsSemiMixedTypes="0" containsString="0" containsNumber="1" containsInteger="1" minValue="1" maxValue="1000"/>
    </cacheField>
  </cacheFields>
  <extLst>
    <ext xmlns:x14="http://schemas.microsoft.com/office/spreadsheetml/2009/9/main" uri="{725AE2AE-9491-48be-B2B4-4EB974FC3084}">
      <x14:pivotCacheDefinition pivotCacheId="624124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some high school"/>
    <s v="free/reduced"/>
    <x v="0"/>
    <n v="0"/>
    <n v="17"/>
    <n v="10"/>
    <n v="27"/>
    <n v="9"/>
    <n v="0.09"/>
    <n v="1000"/>
  </r>
  <r>
    <x v="0"/>
    <x v="1"/>
    <s v="high school"/>
    <s v="free/reduced"/>
    <x v="0"/>
    <n v="8"/>
    <n v="24"/>
    <n v="23"/>
    <n v="55"/>
    <n v="18.333333333333332"/>
    <n v="0.18333333333333332"/>
    <n v="999"/>
  </r>
  <r>
    <x v="1"/>
    <x v="1"/>
    <s v="high school"/>
    <s v="free/reduced"/>
    <x v="0"/>
    <n v="30"/>
    <n v="24"/>
    <n v="15"/>
    <n v="69"/>
    <n v="23"/>
    <n v="0.23"/>
    <n v="998"/>
  </r>
  <r>
    <x v="1"/>
    <x v="2"/>
    <s v="some college"/>
    <s v="free/reduced"/>
    <x v="0"/>
    <n v="28"/>
    <n v="23"/>
    <n v="19"/>
    <n v="70"/>
    <n v="23.333333333333332"/>
    <n v="0.23333333333333334"/>
    <n v="997"/>
  </r>
  <r>
    <x v="0"/>
    <x v="1"/>
    <s v="some high school"/>
    <s v="free/reduced"/>
    <x v="0"/>
    <n v="18"/>
    <n v="32"/>
    <n v="28"/>
    <n v="78"/>
    <n v="26"/>
    <n v="0.26"/>
    <n v="995"/>
  </r>
  <r>
    <x v="1"/>
    <x v="3"/>
    <s v="some high school"/>
    <s v="standard"/>
    <x v="0"/>
    <n v="30"/>
    <n v="26"/>
    <n v="22"/>
    <n v="78"/>
    <n v="26"/>
    <n v="0.26"/>
    <n v="995"/>
  </r>
  <r>
    <x v="0"/>
    <x v="0"/>
    <s v="high school"/>
    <s v="standard"/>
    <x v="0"/>
    <n v="29"/>
    <n v="29"/>
    <n v="30"/>
    <n v="88"/>
    <n v="29.333333333333332"/>
    <n v="0.29333333333333333"/>
    <n v="994"/>
  </r>
  <r>
    <x v="0"/>
    <x v="1"/>
    <s v="some high school"/>
    <s v="free/reduced"/>
    <x v="0"/>
    <n v="24"/>
    <n v="38"/>
    <n v="27"/>
    <n v="89"/>
    <n v="29.666666666666668"/>
    <n v="0.29666666666666669"/>
    <n v="992"/>
  </r>
  <r>
    <x v="0"/>
    <x v="1"/>
    <s v="some college"/>
    <s v="standard"/>
    <x v="0"/>
    <n v="19"/>
    <n v="38"/>
    <n v="32"/>
    <n v="89"/>
    <n v="29.666666666666668"/>
    <n v="0.29666666666666669"/>
    <n v="992"/>
  </r>
  <r>
    <x v="1"/>
    <x v="0"/>
    <s v="some college"/>
    <s v="free/reduced"/>
    <x v="0"/>
    <n v="35"/>
    <n v="28"/>
    <n v="27"/>
    <n v="90"/>
    <n v="30"/>
    <n v="0.3"/>
    <n v="991"/>
  </r>
  <r>
    <x v="1"/>
    <x v="1"/>
    <s v="high school"/>
    <s v="free/reduced"/>
    <x v="0"/>
    <n v="36"/>
    <n v="29"/>
    <n v="27"/>
    <n v="92"/>
    <n v="30.666666666666668"/>
    <n v="0.30666666666666664"/>
    <n v="990"/>
  </r>
  <r>
    <x v="0"/>
    <x v="4"/>
    <s v="some high school"/>
    <s v="free/reduced"/>
    <x v="0"/>
    <n v="27"/>
    <n v="34"/>
    <n v="32"/>
    <n v="93"/>
    <n v="31"/>
    <n v="0.31"/>
    <n v="989"/>
  </r>
  <r>
    <x v="0"/>
    <x v="0"/>
    <s v="some college"/>
    <s v="free/reduced"/>
    <x v="0"/>
    <n v="22"/>
    <n v="39"/>
    <n v="33"/>
    <n v="94"/>
    <n v="31.333333333333332"/>
    <n v="0.31333333333333335"/>
    <n v="988"/>
  </r>
  <r>
    <x v="0"/>
    <x v="4"/>
    <s v="associate's degree"/>
    <s v="free/reduced"/>
    <x v="0"/>
    <n v="26"/>
    <n v="31"/>
    <n v="38"/>
    <n v="95"/>
    <n v="31.666666666666668"/>
    <n v="0.31666666666666665"/>
    <n v="987"/>
  </r>
  <r>
    <x v="1"/>
    <x v="0"/>
    <s v="high school"/>
    <s v="free/reduced"/>
    <x v="0"/>
    <n v="27"/>
    <n v="34"/>
    <n v="36"/>
    <n v="97"/>
    <n v="32.333333333333336"/>
    <n v="0.32333333333333331"/>
    <n v="986"/>
  </r>
  <r>
    <x v="0"/>
    <x v="1"/>
    <s v="high school"/>
    <s v="free/reduced"/>
    <x v="1"/>
    <n v="23"/>
    <n v="44"/>
    <n v="36"/>
    <n v="103"/>
    <n v="34.333333333333336"/>
    <n v="0.34333333333333332"/>
    <n v="985"/>
  </r>
  <r>
    <x v="0"/>
    <x v="0"/>
    <s v="some college"/>
    <s v="free/reduced"/>
    <x v="0"/>
    <n v="32"/>
    <n v="39"/>
    <n v="33"/>
    <n v="104"/>
    <n v="34.666666666666664"/>
    <n v="0.34666666666666668"/>
    <n v="983"/>
  </r>
  <r>
    <x v="0"/>
    <x v="3"/>
    <s v="some high school"/>
    <s v="free/reduced"/>
    <x v="0"/>
    <n v="32"/>
    <n v="34"/>
    <n v="38"/>
    <n v="104"/>
    <n v="34.666666666666664"/>
    <n v="0.34666666666666668"/>
    <n v="983"/>
  </r>
  <r>
    <x v="1"/>
    <x v="2"/>
    <s v="some high school"/>
    <s v="free/reduced"/>
    <x v="0"/>
    <n v="39"/>
    <n v="39"/>
    <n v="34"/>
    <n v="112"/>
    <n v="37.333333333333336"/>
    <n v="0.37333333333333335"/>
    <n v="982"/>
  </r>
  <r>
    <x v="0"/>
    <x v="0"/>
    <s v="some high school"/>
    <s v="free/reduced"/>
    <x v="1"/>
    <n v="29"/>
    <n v="40"/>
    <n v="44"/>
    <n v="113"/>
    <n v="37.666666666666664"/>
    <n v="0.37666666666666665"/>
    <n v="981"/>
  </r>
  <r>
    <x v="1"/>
    <x v="1"/>
    <s v="some college"/>
    <s v="free/reduced"/>
    <x v="0"/>
    <n v="41"/>
    <n v="39"/>
    <n v="34"/>
    <n v="114"/>
    <n v="38"/>
    <n v="0.38"/>
    <n v="980"/>
  </r>
  <r>
    <x v="1"/>
    <x v="4"/>
    <s v="high school"/>
    <s v="free/reduced"/>
    <x v="0"/>
    <n v="42"/>
    <n v="39"/>
    <n v="34"/>
    <n v="115"/>
    <n v="38.333333333333336"/>
    <n v="0.38333333333333336"/>
    <n v="978"/>
  </r>
  <r>
    <x v="0"/>
    <x v="0"/>
    <s v="high school"/>
    <s v="free/reduced"/>
    <x v="0"/>
    <n v="34"/>
    <n v="42"/>
    <n v="39"/>
    <n v="115"/>
    <n v="38.333333333333336"/>
    <n v="0.38333333333333336"/>
    <n v="978"/>
  </r>
  <r>
    <x v="1"/>
    <x v="4"/>
    <s v="high school"/>
    <s v="standard"/>
    <x v="0"/>
    <n v="46"/>
    <n v="34"/>
    <n v="36"/>
    <n v="116"/>
    <n v="38.666666666666664"/>
    <n v="0.38666666666666666"/>
    <n v="977"/>
  </r>
  <r>
    <x v="0"/>
    <x v="0"/>
    <s v="high school"/>
    <s v="free/reduced"/>
    <x v="0"/>
    <n v="33"/>
    <n v="41"/>
    <n v="43"/>
    <n v="117"/>
    <n v="39"/>
    <n v="0.39"/>
    <n v="975"/>
  </r>
  <r>
    <x v="0"/>
    <x v="4"/>
    <s v="bachelor's degree"/>
    <s v="free/reduced"/>
    <x v="0"/>
    <n v="29"/>
    <n v="41"/>
    <n v="47"/>
    <n v="117"/>
    <n v="39"/>
    <n v="0.39"/>
    <n v="975"/>
  </r>
  <r>
    <x v="1"/>
    <x v="2"/>
    <s v="some high school"/>
    <s v="standard"/>
    <x v="0"/>
    <n v="51"/>
    <n v="31"/>
    <n v="36"/>
    <n v="118"/>
    <n v="39.333333333333336"/>
    <n v="0.39333333333333331"/>
    <n v="974"/>
  </r>
  <r>
    <x v="1"/>
    <x v="4"/>
    <s v="some high school"/>
    <s v="free/reduced"/>
    <x v="0"/>
    <n v="45"/>
    <n v="37"/>
    <n v="37"/>
    <n v="119"/>
    <n v="39.666666666666664"/>
    <n v="0.39666666666666667"/>
    <n v="971"/>
  </r>
  <r>
    <x v="1"/>
    <x v="0"/>
    <s v="associate's degree"/>
    <s v="standard"/>
    <x v="0"/>
    <n v="47"/>
    <n v="37"/>
    <n v="35"/>
    <n v="119"/>
    <n v="39.666666666666664"/>
    <n v="0.39666666666666667"/>
    <n v="971"/>
  </r>
  <r>
    <x v="1"/>
    <x v="4"/>
    <s v="bachelor's degree"/>
    <s v="free/reduced"/>
    <x v="1"/>
    <n v="39"/>
    <n v="42"/>
    <n v="38"/>
    <n v="119"/>
    <n v="39.666666666666664"/>
    <n v="0.39666666666666667"/>
    <n v="971"/>
  </r>
  <r>
    <x v="1"/>
    <x v="4"/>
    <s v="some college"/>
    <s v="standard"/>
    <x v="0"/>
    <n v="40"/>
    <n v="42"/>
    <n v="38"/>
    <n v="120"/>
    <n v="40"/>
    <n v="0.4"/>
    <n v="969"/>
  </r>
  <r>
    <x v="0"/>
    <x v="3"/>
    <s v="bachelor's degree"/>
    <s v="standard"/>
    <x v="0"/>
    <n v="37"/>
    <n v="45"/>
    <n v="38"/>
    <n v="120"/>
    <n v="40"/>
    <n v="0.4"/>
    <n v="969"/>
  </r>
  <r>
    <x v="1"/>
    <x v="1"/>
    <s v="some college"/>
    <s v="free/reduced"/>
    <x v="0"/>
    <n v="40"/>
    <n v="43"/>
    <n v="39"/>
    <n v="122"/>
    <n v="40.666666666666664"/>
    <n v="0.40666666666666668"/>
    <n v="967"/>
  </r>
  <r>
    <x v="0"/>
    <x v="0"/>
    <s v="some college"/>
    <s v="free/reduced"/>
    <x v="0"/>
    <n v="35"/>
    <n v="44"/>
    <n v="43"/>
    <n v="122"/>
    <n v="40.666666666666664"/>
    <n v="0.40666666666666668"/>
    <n v="967"/>
  </r>
  <r>
    <x v="1"/>
    <x v="1"/>
    <s v="associate's degree"/>
    <s v="free/reduced"/>
    <x v="0"/>
    <n v="44"/>
    <n v="41"/>
    <n v="38"/>
    <n v="123"/>
    <n v="41"/>
    <n v="0.41"/>
    <n v="965"/>
  </r>
  <r>
    <x v="0"/>
    <x v="2"/>
    <s v="high school"/>
    <s v="free/reduced"/>
    <x v="1"/>
    <n v="34"/>
    <n v="48"/>
    <n v="41"/>
    <n v="123"/>
    <n v="41"/>
    <n v="0.41"/>
    <n v="965"/>
  </r>
  <r>
    <x v="0"/>
    <x v="2"/>
    <s v="some high school"/>
    <s v="free/reduced"/>
    <x v="0"/>
    <n v="38"/>
    <n v="43"/>
    <n v="43"/>
    <n v="124"/>
    <n v="41.333333333333336"/>
    <n v="0.41333333333333333"/>
    <n v="964"/>
  </r>
  <r>
    <x v="0"/>
    <x v="3"/>
    <s v="high school"/>
    <s v="free/reduced"/>
    <x v="0"/>
    <n v="41"/>
    <n v="45"/>
    <n v="40"/>
    <n v="126"/>
    <n v="42"/>
    <n v="0.42"/>
    <n v="963"/>
  </r>
  <r>
    <x v="0"/>
    <x v="1"/>
    <s v="some high school"/>
    <s v="standard"/>
    <x v="1"/>
    <n v="32"/>
    <n v="51"/>
    <n v="44"/>
    <n v="127"/>
    <n v="42.333333333333336"/>
    <n v="0.42333333333333334"/>
    <n v="962"/>
  </r>
  <r>
    <x v="0"/>
    <x v="1"/>
    <s v="some high school"/>
    <s v="standard"/>
    <x v="0"/>
    <n v="37"/>
    <n v="46"/>
    <n v="46"/>
    <n v="129"/>
    <n v="43"/>
    <n v="0.43"/>
    <n v="960"/>
  </r>
  <r>
    <x v="1"/>
    <x v="0"/>
    <s v="some college"/>
    <s v="standard"/>
    <x v="0"/>
    <n v="53"/>
    <n v="39"/>
    <n v="37"/>
    <n v="129"/>
    <n v="43"/>
    <n v="0.43"/>
    <n v="960"/>
  </r>
  <r>
    <x v="1"/>
    <x v="0"/>
    <s v="some high school"/>
    <s v="free/reduced"/>
    <x v="1"/>
    <n v="53"/>
    <n v="37"/>
    <n v="40"/>
    <n v="130"/>
    <n v="43.333333333333336"/>
    <n v="0.43333333333333335"/>
    <n v="956"/>
  </r>
  <r>
    <x v="1"/>
    <x v="2"/>
    <s v="some high school"/>
    <s v="standard"/>
    <x v="1"/>
    <n v="46"/>
    <n v="41"/>
    <n v="43"/>
    <n v="130"/>
    <n v="43.333333333333336"/>
    <n v="0.43333333333333335"/>
    <n v="956"/>
  </r>
  <r>
    <x v="0"/>
    <x v="0"/>
    <s v="high school"/>
    <s v="free/reduced"/>
    <x v="0"/>
    <n v="41"/>
    <n v="46"/>
    <n v="43"/>
    <n v="130"/>
    <n v="43.333333333333336"/>
    <n v="0.43333333333333335"/>
    <n v="956"/>
  </r>
  <r>
    <x v="1"/>
    <x v="3"/>
    <s v="associate's degree"/>
    <s v="free/reduced"/>
    <x v="0"/>
    <n v="46"/>
    <n v="43"/>
    <n v="41"/>
    <n v="130"/>
    <n v="43.333333333333336"/>
    <n v="0.43333333333333335"/>
    <n v="956"/>
  </r>
  <r>
    <x v="1"/>
    <x v="0"/>
    <s v="associate's degree"/>
    <s v="standard"/>
    <x v="0"/>
    <n v="46"/>
    <n v="43"/>
    <n v="42"/>
    <n v="131"/>
    <n v="43.666666666666664"/>
    <n v="0.43666666666666665"/>
    <n v="954"/>
  </r>
  <r>
    <x v="1"/>
    <x v="1"/>
    <s v="some college"/>
    <s v="standard"/>
    <x v="0"/>
    <n v="47"/>
    <n v="43"/>
    <n v="41"/>
    <n v="131"/>
    <n v="43.666666666666664"/>
    <n v="0.43666666666666665"/>
    <n v="954"/>
  </r>
  <r>
    <x v="0"/>
    <x v="3"/>
    <s v="some high school"/>
    <s v="free/reduced"/>
    <x v="0"/>
    <n v="38"/>
    <n v="49"/>
    <n v="45"/>
    <n v="132"/>
    <n v="44"/>
    <n v="0.44"/>
    <n v="952"/>
  </r>
  <r>
    <x v="0"/>
    <x v="0"/>
    <s v="high school"/>
    <s v="free/reduced"/>
    <x v="0"/>
    <n v="36"/>
    <n v="53"/>
    <n v="43"/>
    <n v="132"/>
    <n v="44"/>
    <n v="0.44"/>
    <n v="952"/>
  </r>
  <r>
    <x v="1"/>
    <x v="3"/>
    <s v="associate's degree"/>
    <s v="free/reduced"/>
    <x v="1"/>
    <n v="46"/>
    <n v="43"/>
    <n v="44"/>
    <n v="133"/>
    <n v="44.333333333333336"/>
    <n v="0.44333333333333336"/>
    <n v="951"/>
  </r>
  <r>
    <x v="1"/>
    <x v="0"/>
    <s v="master's degree"/>
    <s v="free/reduced"/>
    <x v="1"/>
    <n v="46"/>
    <n v="42"/>
    <n v="46"/>
    <n v="134"/>
    <n v="44.666666666666664"/>
    <n v="0.44666666666666666"/>
    <n v="947"/>
  </r>
  <r>
    <x v="1"/>
    <x v="2"/>
    <s v="high school"/>
    <s v="free/reduced"/>
    <x v="0"/>
    <n v="48"/>
    <n v="45"/>
    <n v="41"/>
    <n v="134"/>
    <n v="44.666666666666664"/>
    <n v="0.44666666666666666"/>
    <n v="947"/>
  </r>
  <r>
    <x v="0"/>
    <x v="0"/>
    <s v="high school"/>
    <s v="free/reduced"/>
    <x v="0"/>
    <n v="35"/>
    <n v="53"/>
    <n v="46"/>
    <n v="134"/>
    <n v="44.666666666666664"/>
    <n v="0.44666666666666666"/>
    <n v="947"/>
  </r>
  <r>
    <x v="0"/>
    <x v="2"/>
    <s v="some high school"/>
    <s v="free/reduced"/>
    <x v="0"/>
    <n v="44"/>
    <n v="45"/>
    <n v="45"/>
    <n v="134"/>
    <n v="44.666666666666664"/>
    <n v="0.44666666666666666"/>
    <n v="947"/>
  </r>
  <r>
    <x v="1"/>
    <x v="4"/>
    <s v="associate's degree"/>
    <s v="standard"/>
    <x v="0"/>
    <n v="40"/>
    <n v="52"/>
    <n v="43"/>
    <n v="135"/>
    <n v="45"/>
    <n v="0.45"/>
    <n v="945"/>
  </r>
  <r>
    <x v="1"/>
    <x v="1"/>
    <s v="high school"/>
    <s v="standard"/>
    <x v="0"/>
    <n v="47"/>
    <n v="46"/>
    <n v="42"/>
    <n v="135"/>
    <n v="45"/>
    <n v="0.45"/>
    <n v="945"/>
  </r>
  <r>
    <x v="1"/>
    <x v="0"/>
    <s v="high school"/>
    <s v="free/reduced"/>
    <x v="1"/>
    <n v="40"/>
    <n v="46"/>
    <n v="50"/>
    <n v="136"/>
    <n v="45.333333333333336"/>
    <n v="0.45333333333333331"/>
    <n v="943"/>
  </r>
  <r>
    <x v="1"/>
    <x v="1"/>
    <s v="associate's degree"/>
    <s v="standard"/>
    <x v="0"/>
    <n v="48"/>
    <n v="43"/>
    <n v="45"/>
    <n v="136"/>
    <n v="45.333333333333336"/>
    <n v="0.45333333333333331"/>
    <n v="943"/>
  </r>
  <r>
    <x v="0"/>
    <x v="4"/>
    <s v="high school"/>
    <s v="free/reduced"/>
    <x v="0"/>
    <n v="39"/>
    <n v="52"/>
    <n v="46"/>
    <n v="137"/>
    <n v="45.666666666666664"/>
    <n v="0.45666666666666667"/>
    <n v="942"/>
  </r>
  <r>
    <x v="1"/>
    <x v="0"/>
    <s v="associate's degree"/>
    <s v="free/reduced"/>
    <x v="1"/>
    <n v="43"/>
    <n v="45"/>
    <n v="50"/>
    <n v="138"/>
    <n v="46"/>
    <n v="0.46"/>
    <n v="939"/>
  </r>
  <r>
    <x v="0"/>
    <x v="1"/>
    <s v="associate's degree"/>
    <s v="standard"/>
    <x v="0"/>
    <n v="40"/>
    <n v="48"/>
    <n v="50"/>
    <n v="138"/>
    <n v="46"/>
    <n v="0.46"/>
    <n v="939"/>
  </r>
  <r>
    <x v="1"/>
    <x v="3"/>
    <s v="associate's degree"/>
    <s v="standard"/>
    <x v="0"/>
    <n v="53"/>
    <n v="45"/>
    <n v="40"/>
    <n v="138"/>
    <n v="46"/>
    <n v="0.46"/>
    <n v="939"/>
  </r>
  <r>
    <x v="1"/>
    <x v="0"/>
    <s v="some college"/>
    <s v="standard"/>
    <x v="0"/>
    <n v="53"/>
    <n v="44"/>
    <n v="42"/>
    <n v="139"/>
    <n v="46.333333333333336"/>
    <n v="0.46333333333333332"/>
    <n v="934"/>
  </r>
  <r>
    <x v="1"/>
    <x v="0"/>
    <s v="some high school"/>
    <s v="standard"/>
    <x v="0"/>
    <n v="49"/>
    <n v="49"/>
    <n v="41"/>
    <n v="139"/>
    <n v="46.333333333333336"/>
    <n v="0.46333333333333332"/>
    <n v="934"/>
  </r>
  <r>
    <x v="1"/>
    <x v="1"/>
    <s v="high school"/>
    <s v="free/reduced"/>
    <x v="0"/>
    <n v="49"/>
    <n v="45"/>
    <n v="45"/>
    <n v="139"/>
    <n v="46.333333333333336"/>
    <n v="0.46333333333333332"/>
    <n v="934"/>
  </r>
  <r>
    <x v="1"/>
    <x v="4"/>
    <s v="high school"/>
    <s v="standard"/>
    <x v="0"/>
    <n v="45"/>
    <n v="48"/>
    <n v="46"/>
    <n v="139"/>
    <n v="46.333333333333336"/>
    <n v="0.46333333333333332"/>
    <n v="934"/>
  </r>
  <r>
    <x v="1"/>
    <x v="2"/>
    <s v="some college"/>
    <s v="standard"/>
    <x v="0"/>
    <n v="53"/>
    <n v="43"/>
    <n v="43"/>
    <n v="139"/>
    <n v="46.333333333333336"/>
    <n v="0.46333333333333332"/>
    <n v="934"/>
  </r>
  <r>
    <x v="0"/>
    <x v="2"/>
    <s v="associate's degree"/>
    <s v="free/reduced"/>
    <x v="0"/>
    <n v="41"/>
    <n v="51"/>
    <n v="48"/>
    <n v="140"/>
    <n v="46.666666666666664"/>
    <n v="0.46666666666666667"/>
    <n v="930"/>
  </r>
  <r>
    <x v="1"/>
    <x v="0"/>
    <s v="bachelor's degree"/>
    <s v="free/reduced"/>
    <x v="0"/>
    <n v="37"/>
    <n v="56"/>
    <n v="47"/>
    <n v="140"/>
    <n v="46.666666666666664"/>
    <n v="0.46666666666666667"/>
    <n v="930"/>
  </r>
  <r>
    <x v="1"/>
    <x v="0"/>
    <s v="high school"/>
    <s v="standard"/>
    <x v="0"/>
    <n v="50"/>
    <n v="48"/>
    <n v="42"/>
    <n v="140"/>
    <n v="46.666666666666664"/>
    <n v="0.46666666666666667"/>
    <n v="930"/>
  </r>
  <r>
    <x v="1"/>
    <x v="4"/>
    <s v="bachelor's degree"/>
    <s v="free/reduced"/>
    <x v="0"/>
    <n v="50"/>
    <n v="42"/>
    <n v="48"/>
    <n v="140"/>
    <n v="46.666666666666664"/>
    <n v="0.46666666666666667"/>
    <n v="930"/>
  </r>
  <r>
    <x v="1"/>
    <x v="2"/>
    <s v="high school"/>
    <s v="free/reduced"/>
    <x v="0"/>
    <n v="45"/>
    <n v="47"/>
    <n v="49"/>
    <n v="141"/>
    <n v="47"/>
    <n v="0.47"/>
    <n v="929"/>
  </r>
  <r>
    <x v="1"/>
    <x v="0"/>
    <s v="some college"/>
    <s v="standard"/>
    <x v="0"/>
    <n v="59"/>
    <n v="41"/>
    <n v="42"/>
    <n v="142"/>
    <n v="47.333333333333336"/>
    <n v="0.47333333333333333"/>
    <n v="927"/>
  </r>
  <r>
    <x v="1"/>
    <x v="4"/>
    <s v="some high school"/>
    <s v="free/reduced"/>
    <x v="0"/>
    <n v="59"/>
    <n v="42"/>
    <n v="41"/>
    <n v="142"/>
    <n v="47.333333333333336"/>
    <n v="0.47333333333333333"/>
    <n v="927"/>
  </r>
  <r>
    <x v="1"/>
    <x v="0"/>
    <s v="associate's degree"/>
    <s v="standard"/>
    <x v="0"/>
    <n v="49"/>
    <n v="51"/>
    <n v="43"/>
    <n v="143"/>
    <n v="47.666666666666664"/>
    <n v="0.47666666666666668"/>
    <n v="925"/>
  </r>
  <r>
    <x v="1"/>
    <x v="4"/>
    <s v="high school"/>
    <s v="free/reduced"/>
    <x v="0"/>
    <n v="44"/>
    <n v="51"/>
    <n v="48"/>
    <n v="143"/>
    <n v="47.666666666666664"/>
    <n v="0.47666666666666668"/>
    <n v="925"/>
  </r>
  <r>
    <x v="1"/>
    <x v="4"/>
    <s v="high school"/>
    <s v="standard"/>
    <x v="0"/>
    <n v="41"/>
    <n v="52"/>
    <n v="51"/>
    <n v="144"/>
    <n v="48"/>
    <n v="0.48"/>
    <n v="921"/>
  </r>
  <r>
    <x v="1"/>
    <x v="2"/>
    <s v="some high school"/>
    <s v="free/reduced"/>
    <x v="0"/>
    <n v="55"/>
    <n v="46"/>
    <n v="43"/>
    <n v="144"/>
    <n v="48"/>
    <n v="0.48"/>
    <n v="921"/>
  </r>
  <r>
    <x v="1"/>
    <x v="1"/>
    <s v="associate's degree"/>
    <s v="standard"/>
    <x v="0"/>
    <n v="61"/>
    <n v="42"/>
    <n v="41"/>
    <n v="144"/>
    <n v="48"/>
    <n v="0.48"/>
    <n v="921"/>
  </r>
  <r>
    <x v="1"/>
    <x v="4"/>
    <s v="high school"/>
    <s v="standard"/>
    <x v="1"/>
    <n v="55"/>
    <n v="41"/>
    <n v="48"/>
    <n v="144"/>
    <n v="48"/>
    <n v="0.48"/>
    <n v="921"/>
  </r>
  <r>
    <x v="1"/>
    <x v="1"/>
    <s v="some high school"/>
    <s v="free/reduced"/>
    <x v="0"/>
    <n v="48"/>
    <n v="52"/>
    <n v="45"/>
    <n v="145"/>
    <n v="48.333333333333336"/>
    <n v="0.48333333333333334"/>
    <n v="915"/>
  </r>
  <r>
    <x v="1"/>
    <x v="2"/>
    <s v="some high school"/>
    <s v="standard"/>
    <x v="1"/>
    <n v="47"/>
    <n v="49"/>
    <n v="49"/>
    <n v="145"/>
    <n v="48.333333333333336"/>
    <n v="0.48333333333333334"/>
    <n v="915"/>
  </r>
  <r>
    <x v="0"/>
    <x v="0"/>
    <s v="some high school"/>
    <s v="free/reduced"/>
    <x v="0"/>
    <n v="44"/>
    <n v="50"/>
    <n v="51"/>
    <n v="145"/>
    <n v="48.333333333333336"/>
    <n v="0.48333333333333334"/>
    <n v="915"/>
  </r>
  <r>
    <x v="1"/>
    <x v="1"/>
    <s v="bachelor's degree"/>
    <s v="free/reduced"/>
    <x v="0"/>
    <n v="48"/>
    <n v="51"/>
    <n v="46"/>
    <n v="145"/>
    <n v="48.333333333333336"/>
    <n v="0.48333333333333334"/>
    <n v="915"/>
  </r>
  <r>
    <x v="0"/>
    <x v="1"/>
    <s v="high school"/>
    <s v="standard"/>
    <x v="0"/>
    <n v="42"/>
    <n v="52"/>
    <n v="51"/>
    <n v="145"/>
    <n v="48.333333333333336"/>
    <n v="0.48333333333333334"/>
    <n v="915"/>
  </r>
  <r>
    <x v="1"/>
    <x v="4"/>
    <s v="bachelor's degree"/>
    <s v="free/reduced"/>
    <x v="0"/>
    <n v="55"/>
    <n v="46"/>
    <n v="44"/>
    <n v="145"/>
    <n v="48.333333333333336"/>
    <n v="0.48333333333333334"/>
    <n v="915"/>
  </r>
  <r>
    <x v="0"/>
    <x v="1"/>
    <s v="associate's degree"/>
    <s v="standard"/>
    <x v="0"/>
    <n v="47"/>
    <n v="49"/>
    <n v="50"/>
    <n v="146"/>
    <n v="48.666666666666664"/>
    <n v="0.48666666666666669"/>
    <n v="911"/>
  </r>
  <r>
    <x v="1"/>
    <x v="1"/>
    <s v="some high school"/>
    <s v="standard"/>
    <x v="1"/>
    <n v="51"/>
    <n v="54"/>
    <n v="41"/>
    <n v="146"/>
    <n v="48.666666666666664"/>
    <n v="0.48666666666666669"/>
    <n v="911"/>
  </r>
  <r>
    <x v="1"/>
    <x v="0"/>
    <s v="some high school"/>
    <s v="free/reduced"/>
    <x v="1"/>
    <n v="45"/>
    <n v="52"/>
    <n v="49"/>
    <n v="146"/>
    <n v="48.666666666666664"/>
    <n v="0.48666666666666669"/>
    <n v="911"/>
  </r>
  <r>
    <x v="1"/>
    <x v="4"/>
    <s v="some high school"/>
    <s v="standard"/>
    <x v="0"/>
    <n v="55"/>
    <n v="47"/>
    <n v="44"/>
    <n v="146"/>
    <n v="48.666666666666664"/>
    <n v="0.48666666666666669"/>
    <n v="911"/>
  </r>
  <r>
    <x v="1"/>
    <x v="2"/>
    <s v="high school"/>
    <s v="standard"/>
    <x v="0"/>
    <n v="57"/>
    <n v="43"/>
    <n v="47"/>
    <n v="147"/>
    <n v="49"/>
    <n v="0.49"/>
    <n v="905"/>
  </r>
  <r>
    <x v="0"/>
    <x v="3"/>
    <s v="high school"/>
    <s v="standard"/>
    <x v="0"/>
    <n v="50"/>
    <n v="50"/>
    <n v="47"/>
    <n v="147"/>
    <n v="49"/>
    <n v="0.49"/>
    <n v="905"/>
  </r>
  <r>
    <x v="1"/>
    <x v="4"/>
    <s v="high school"/>
    <s v="standard"/>
    <x v="0"/>
    <n v="53"/>
    <n v="52"/>
    <n v="42"/>
    <n v="147"/>
    <n v="49"/>
    <n v="0.49"/>
    <n v="905"/>
  </r>
  <r>
    <x v="1"/>
    <x v="0"/>
    <s v="some high school"/>
    <s v="standard"/>
    <x v="0"/>
    <n v="51"/>
    <n v="52"/>
    <n v="44"/>
    <n v="147"/>
    <n v="49"/>
    <n v="0.49"/>
    <n v="905"/>
  </r>
  <r>
    <x v="0"/>
    <x v="1"/>
    <s v="some high school"/>
    <s v="standard"/>
    <x v="0"/>
    <n v="41"/>
    <n v="55"/>
    <n v="51"/>
    <n v="147"/>
    <n v="49"/>
    <n v="0.49"/>
    <n v="905"/>
  </r>
  <r>
    <x v="1"/>
    <x v="1"/>
    <s v="high school"/>
    <s v="standard"/>
    <x v="1"/>
    <n v="52"/>
    <n v="49"/>
    <n v="46"/>
    <n v="147"/>
    <n v="49"/>
    <n v="0.49"/>
    <n v="905"/>
  </r>
  <r>
    <x v="1"/>
    <x v="2"/>
    <s v="associate's degree"/>
    <s v="free/reduced"/>
    <x v="0"/>
    <n v="47"/>
    <n v="57"/>
    <n v="44"/>
    <n v="148"/>
    <n v="49.333333333333336"/>
    <n v="0.49333333333333335"/>
    <n v="901"/>
  </r>
  <r>
    <x v="0"/>
    <x v="1"/>
    <s v="high school"/>
    <s v="free/reduced"/>
    <x v="0"/>
    <n v="38"/>
    <n v="60"/>
    <n v="50"/>
    <n v="148"/>
    <n v="49.333333333333336"/>
    <n v="0.49333333333333335"/>
    <n v="901"/>
  </r>
  <r>
    <x v="0"/>
    <x v="0"/>
    <s v="bachelor's degree"/>
    <s v="free/reduced"/>
    <x v="1"/>
    <n v="43"/>
    <n v="51"/>
    <n v="54"/>
    <n v="148"/>
    <n v="49.333333333333336"/>
    <n v="0.49333333333333335"/>
    <n v="901"/>
  </r>
  <r>
    <x v="1"/>
    <x v="2"/>
    <s v="associate's degree"/>
    <s v="free/reduced"/>
    <x v="1"/>
    <n v="40"/>
    <n v="55"/>
    <n v="53"/>
    <n v="148"/>
    <n v="49.333333333333336"/>
    <n v="0.49333333333333335"/>
    <n v="901"/>
  </r>
  <r>
    <x v="1"/>
    <x v="0"/>
    <s v="some college"/>
    <s v="standard"/>
    <x v="0"/>
    <n v="58"/>
    <n v="49"/>
    <n v="42"/>
    <n v="149"/>
    <n v="49.666666666666664"/>
    <n v="0.49666666666666665"/>
    <n v="898"/>
  </r>
  <r>
    <x v="0"/>
    <x v="0"/>
    <s v="some high school"/>
    <s v="free/reduced"/>
    <x v="0"/>
    <n v="43"/>
    <n v="53"/>
    <n v="53"/>
    <n v="149"/>
    <n v="49.666666666666664"/>
    <n v="0.49666666666666665"/>
    <n v="898"/>
  </r>
  <r>
    <x v="1"/>
    <x v="1"/>
    <s v="high school"/>
    <s v="standard"/>
    <x v="0"/>
    <n v="52"/>
    <n v="48"/>
    <n v="49"/>
    <n v="149"/>
    <n v="49.666666666666664"/>
    <n v="0.49666666666666665"/>
    <n v="898"/>
  </r>
  <r>
    <x v="1"/>
    <x v="4"/>
    <s v="bachelor's degree"/>
    <s v="standard"/>
    <x v="0"/>
    <n v="54"/>
    <n v="49"/>
    <n v="47"/>
    <n v="150"/>
    <n v="50"/>
    <n v="0.5"/>
    <n v="892"/>
  </r>
  <r>
    <x v="0"/>
    <x v="4"/>
    <s v="some high school"/>
    <s v="free/reduced"/>
    <x v="1"/>
    <n v="35"/>
    <n v="55"/>
    <n v="60"/>
    <n v="150"/>
    <n v="50"/>
    <n v="0.5"/>
    <n v="892"/>
  </r>
  <r>
    <x v="0"/>
    <x v="0"/>
    <s v="high school"/>
    <s v="free/reduced"/>
    <x v="0"/>
    <n v="35"/>
    <n v="61"/>
    <n v="54"/>
    <n v="150"/>
    <n v="50"/>
    <n v="0.5"/>
    <n v="892"/>
  </r>
  <r>
    <x v="0"/>
    <x v="0"/>
    <s v="some high school"/>
    <s v="standard"/>
    <x v="1"/>
    <n v="44"/>
    <n v="51"/>
    <n v="55"/>
    <n v="150"/>
    <n v="50"/>
    <n v="0.5"/>
    <n v="892"/>
  </r>
  <r>
    <x v="0"/>
    <x v="2"/>
    <s v="associate's degree"/>
    <s v="free/reduced"/>
    <x v="0"/>
    <n v="37"/>
    <n v="57"/>
    <n v="56"/>
    <n v="150"/>
    <n v="50"/>
    <n v="0.5"/>
    <n v="892"/>
  </r>
  <r>
    <x v="0"/>
    <x v="0"/>
    <s v="associate's degree"/>
    <s v="standard"/>
    <x v="0"/>
    <n v="40"/>
    <n v="59"/>
    <n v="51"/>
    <n v="150"/>
    <n v="50"/>
    <n v="0.5"/>
    <n v="892"/>
  </r>
  <r>
    <x v="1"/>
    <x v="4"/>
    <s v="some college"/>
    <s v="standard"/>
    <x v="0"/>
    <n v="44"/>
    <n v="54"/>
    <n v="53"/>
    <n v="151"/>
    <n v="50.333333333333336"/>
    <n v="0.5033333333333333"/>
    <n v="884"/>
  </r>
  <r>
    <x v="1"/>
    <x v="2"/>
    <s v="some college"/>
    <s v="free/reduced"/>
    <x v="1"/>
    <n v="50"/>
    <n v="47"/>
    <n v="54"/>
    <n v="151"/>
    <n v="50.333333333333336"/>
    <n v="0.5033333333333333"/>
    <n v="884"/>
  </r>
  <r>
    <x v="1"/>
    <x v="1"/>
    <s v="high school"/>
    <s v="standard"/>
    <x v="1"/>
    <n v="60"/>
    <n v="44"/>
    <n v="47"/>
    <n v="151"/>
    <n v="50.333333333333336"/>
    <n v="0.5033333333333333"/>
    <n v="884"/>
  </r>
  <r>
    <x v="0"/>
    <x v="2"/>
    <s v="bachelor's degree"/>
    <s v="standard"/>
    <x v="0"/>
    <n v="51"/>
    <n v="49"/>
    <n v="51"/>
    <n v="151"/>
    <n v="50.333333333333336"/>
    <n v="0.5033333333333333"/>
    <n v="884"/>
  </r>
  <r>
    <x v="0"/>
    <x v="3"/>
    <s v="some college"/>
    <s v="free/reduced"/>
    <x v="1"/>
    <n v="42"/>
    <n v="55"/>
    <n v="54"/>
    <n v="151"/>
    <n v="50.333333333333336"/>
    <n v="0.5033333333333333"/>
    <n v="884"/>
  </r>
  <r>
    <x v="1"/>
    <x v="0"/>
    <s v="some college"/>
    <s v="free/reduced"/>
    <x v="1"/>
    <n v="50"/>
    <n v="48"/>
    <n v="53"/>
    <n v="151"/>
    <n v="50.333333333333336"/>
    <n v="0.5033333333333333"/>
    <n v="884"/>
  </r>
  <r>
    <x v="1"/>
    <x v="0"/>
    <s v="associate's degree"/>
    <s v="free/reduced"/>
    <x v="0"/>
    <n v="49"/>
    <n v="51"/>
    <n v="51"/>
    <n v="151"/>
    <n v="50.333333333333336"/>
    <n v="0.5033333333333333"/>
    <n v="884"/>
  </r>
  <r>
    <x v="1"/>
    <x v="1"/>
    <s v="some high school"/>
    <s v="free/reduced"/>
    <x v="1"/>
    <n v="49"/>
    <n v="50"/>
    <n v="52"/>
    <n v="151"/>
    <n v="50.333333333333336"/>
    <n v="0.5033333333333333"/>
    <n v="884"/>
  </r>
  <r>
    <x v="0"/>
    <x v="0"/>
    <s v="master's degree"/>
    <s v="free/reduced"/>
    <x v="0"/>
    <n v="40"/>
    <n v="58"/>
    <n v="54"/>
    <n v="152"/>
    <n v="50.666666666666664"/>
    <n v="0.50666666666666671"/>
    <n v="881"/>
  </r>
  <r>
    <x v="1"/>
    <x v="4"/>
    <s v="some college"/>
    <s v="free/reduced"/>
    <x v="0"/>
    <n v="49"/>
    <n v="57"/>
    <n v="46"/>
    <n v="152"/>
    <n v="50.666666666666664"/>
    <n v="0.50666666666666671"/>
    <n v="881"/>
  </r>
  <r>
    <x v="1"/>
    <x v="3"/>
    <s v="some college"/>
    <s v="free/reduced"/>
    <x v="1"/>
    <n v="49"/>
    <n v="52"/>
    <n v="51"/>
    <n v="152"/>
    <n v="50.666666666666664"/>
    <n v="0.50666666666666671"/>
    <n v="881"/>
  </r>
  <r>
    <x v="0"/>
    <x v="1"/>
    <s v="some college"/>
    <s v="free/reduced"/>
    <x v="0"/>
    <n v="45"/>
    <n v="53"/>
    <n v="55"/>
    <n v="153"/>
    <n v="51"/>
    <n v="0.51"/>
    <n v="876"/>
  </r>
  <r>
    <x v="1"/>
    <x v="3"/>
    <s v="some college"/>
    <s v="standard"/>
    <x v="0"/>
    <n v="59"/>
    <n v="51"/>
    <n v="43"/>
    <n v="153"/>
    <n v="51"/>
    <n v="0.51"/>
    <n v="876"/>
  </r>
  <r>
    <x v="1"/>
    <x v="1"/>
    <s v="some college"/>
    <s v="free/reduced"/>
    <x v="0"/>
    <n v="54"/>
    <n v="54"/>
    <n v="45"/>
    <n v="153"/>
    <n v="51"/>
    <n v="0.51"/>
    <n v="876"/>
  </r>
  <r>
    <x v="0"/>
    <x v="4"/>
    <s v="master's degree"/>
    <s v="free/reduced"/>
    <x v="0"/>
    <n v="40"/>
    <n v="59"/>
    <n v="54"/>
    <n v="153"/>
    <n v="51"/>
    <n v="0.51"/>
    <n v="876"/>
  </r>
  <r>
    <x v="1"/>
    <x v="1"/>
    <s v="some college"/>
    <s v="standard"/>
    <x v="0"/>
    <n v="58"/>
    <n v="50"/>
    <n v="45"/>
    <n v="153"/>
    <n v="51"/>
    <n v="0.51"/>
    <n v="876"/>
  </r>
  <r>
    <x v="1"/>
    <x v="2"/>
    <s v="associate's degree"/>
    <s v="standard"/>
    <x v="0"/>
    <n v="54"/>
    <n v="53"/>
    <n v="47"/>
    <n v="154"/>
    <n v="51.333333333333336"/>
    <n v="0.51333333333333331"/>
    <n v="870"/>
  </r>
  <r>
    <x v="1"/>
    <x v="1"/>
    <s v="master's degree"/>
    <s v="free/reduced"/>
    <x v="0"/>
    <n v="49"/>
    <n v="53"/>
    <n v="52"/>
    <n v="154"/>
    <n v="51.333333333333336"/>
    <n v="0.51333333333333331"/>
    <n v="870"/>
  </r>
  <r>
    <x v="1"/>
    <x v="0"/>
    <s v="high school"/>
    <s v="standard"/>
    <x v="0"/>
    <n v="52"/>
    <n v="53"/>
    <n v="49"/>
    <n v="154"/>
    <n v="51.333333333333336"/>
    <n v="0.51333333333333331"/>
    <n v="870"/>
  </r>
  <r>
    <x v="0"/>
    <x v="0"/>
    <s v="some college"/>
    <s v="standard"/>
    <x v="0"/>
    <n v="54"/>
    <n v="48"/>
    <n v="52"/>
    <n v="154"/>
    <n v="51.333333333333336"/>
    <n v="0.51333333333333331"/>
    <n v="870"/>
  </r>
  <r>
    <x v="1"/>
    <x v="0"/>
    <s v="high school"/>
    <s v="standard"/>
    <x v="1"/>
    <n v="53"/>
    <n v="52"/>
    <n v="49"/>
    <n v="154"/>
    <n v="51.333333333333336"/>
    <n v="0.51333333333333331"/>
    <n v="870"/>
  </r>
  <r>
    <x v="0"/>
    <x v="0"/>
    <s v="some high school"/>
    <s v="standard"/>
    <x v="0"/>
    <n v="47"/>
    <n v="54"/>
    <n v="53"/>
    <n v="154"/>
    <n v="51.333333333333336"/>
    <n v="0.51333333333333331"/>
    <n v="870"/>
  </r>
  <r>
    <x v="1"/>
    <x v="0"/>
    <s v="high school"/>
    <s v="free/reduced"/>
    <x v="1"/>
    <n v="53"/>
    <n v="51"/>
    <n v="51"/>
    <n v="155"/>
    <n v="51.666666666666664"/>
    <n v="0.51666666666666672"/>
    <n v="860"/>
  </r>
  <r>
    <x v="0"/>
    <x v="3"/>
    <s v="master's degree"/>
    <s v="free/reduced"/>
    <x v="0"/>
    <n v="45"/>
    <n v="56"/>
    <n v="54"/>
    <n v="155"/>
    <n v="51.666666666666664"/>
    <n v="0.51666666666666672"/>
    <n v="860"/>
  </r>
  <r>
    <x v="1"/>
    <x v="4"/>
    <s v="associate's degree"/>
    <s v="free/reduced"/>
    <x v="0"/>
    <n v="53"/>
    <n v="54"/>
    <n v="48"/>
    <n v="155"/>
    <n v="51.666666666666664"/>
    <n v="0.51666666666666672"/>
    <n v="860"/>
  </r>
  <r>
    <x v="0"/>
    <x v="1"/>
    <s v="associate's degree"/>
    <s v="standard"/>
    <x v="0"/>
    <n v="49"/>
    <n v="52"/>
    <n v="54"/>
    <n v="155"/>
    <n v="51.666666666666664"/>
    <n v="0.51666666666666672"/>
    <n v="860"/>
  </r>
  <r>
    <x v="1"/>
    <x v="2"/>
    <s v="some high school"/>
    <s v="standard"/>
    <x v="0"/>
    <n v="53"/>
    <n v="54"/>
    <n v="48"/>
    <n v="155"/>
    <n v="51.666666666666664"/>
    <n v="0.51666666666666672"/>
    <n v="860"/>
  </r>
  <r>
    <x v="1"/>
    <x v="4"/>
    <s v="associate's degree"/>
    <s v="standard"/>
    <x v="0"/>
    <n v="61"/>
    <n v="48"/>
    <n v="46"/>
    <n v="155"/>
    <n v="51.666666666666664"/>
    <n v="0.51666666666666672"/>
    <n v="860"/>
  </r>
  <r>
    <x v="1"/>
    <x v="2"/>
    <s v="high school"/>
    <s v="free/reduced"/>
    <x v="0"/>
    <n v="53"/>
    <n v="58"/>
    <n v="44"/>
    <n v="155"/>
    <n v="51.666666666666664"/>
    <n v="0.51666666666666672"/>
    <n v="860"/>
  </r>
  <r>
    <x v="0"/>
    <x v="0"/>
    <s v="associate's degree"/>
    <s v="standard"/>
    <x v="0"/>
    <n v="49"/>
    <n v="53"/>
    <n v="53"/>
    <n v="155"/>
    <n v="51.666666666666664"/>
    <n v="0.51666666666666672"/>
    <n v="860"/>
  </r>
  <r>
    <x v="0"/>
    <x v="0"/>
    <s v="some high school"/>
    <s v="free/reduced"/>
    <x v="0"/>
    <n v="48"/>
    <n v="56"/>
    <n v="51"/>
    <n v="155"/>
    <n v="51.666666666666664"/>
    <n v="0.51666666666666672"/>
    <n v="860"/>
  </r>
  <r>
    <x v="0"/>
    <x v="4"/>
    <s v="some high school"/>
    <s v="free/reduced"/>
    <x v="0"/>
    <n v="48"/>
    <n v="54"/>
    <n v="53"/>
    <n v="155"/>
    <n v="51.666666666666664"/>
    <n v="0.51666666666666672"/>
    <n v="860"/>
  </r>
  <r>
    <x v="1"/>
    <x v="3"/>
    <s v="some college"/>
    <s v="standard"/>
    <x v="0"/>
    <n v="53"/>
    <n v="55"/>
    <n v="48"/>
    <n v="156"/>
    <n v="52"/>
    <n v="0.52"/>
    <n v="855"/>
  </r>
  <r>
    <x v="1"/>
    <x v="4"/>
    <s v="associate's degree"/>
    <s v="standard"/>
    <x v="0"/>
    <n v="52"/>
    <n v="55"/>
    <n v="49"/>
    <n v="156"/>
    <n v="52"/>
    <n v="0.52"/>
    <n v="855"/>
  </r>
  <r>
    <x v="0"/>
    <x v="2"/>
    <s v="some high school"/>
    <s v="free/reduced"/>
    <x v="0"/>
    <n v="47"/>
    <n v="59"/>
    <n v="50"/>
    <n v="156"/>
    <n v="52"/>
    <n v="0.52"/>
    <n v="855"/>
  </r>
  <r>
    <x v="0"/>
    <x v="3"/>
    <s v="associate's degree"/>
    <s v="standard"/>
    <x v="0"/>
    <n v="51"/>
    <n v="51"/>
    <n v="54"/>
    <n v="156"/>
    <n v="52"/>
    <n v="0.52"/>
    <n v="855"/>
  </r>
  <r>
    <x v="1"/>
    <x v="1"/>
    <s v="high school"/>
    <s v="standard"/>
    <x v="0"/>
    <n v="57"/>
    <n v="48"/>
    <n v="51"/>
    <n v="156"/>
    <n v="52"/>
    <n v="0.52"/>
    <n v="855"/>
  </r>
  <r>
    <x v="1"/>
    <x v="1"/>
    <s v="some college"/>
    <s v="standard"/>
    <x v="0"/>
    <n v="54"/>
    <n v="52"/>
    <n v="51"/>
    <n v="157"/>
    <n v="52.333333333333336"/>
    <n v="0.52333333333333332"/>
    <n v="850"/>
  </r>
  <r>
    <x v="1"/>
    <x v="2"/>
    <s v="high school"/>
    <s v="standard"/>
    <x v="0"/>
    <n v="59"/>
    <n v="52"/>
    <n v="46"/>
    <n v="157"/>
    <n v="52.333333333333336"/>
    <n v="0.52333333333333332"/>
    <n v="850"/>
  </r>
  <r>
    <x v="1"/>
    <x v="2"/>
    <s v="some high school"/>
    <s v="standard"/>
    <x v="0"/>
    <n v="64"/>
    <n v="50"/>
    <n v="43"/>
    <n v="157"/>
    <n v="52.333333333333336"/>
    <n v="0.52333333333333332"/>
    <n v="850"/>
  </r>
  <r>
    <x v="1"/>
    <x v="1"/>
    <s v="some college"/>
    <s v="free/reduced"/>
    <x v="0"/>
    <n v="55"/>
    <n v="55"/>
    <n v="47"/>
    <n v="157"/>
    <n v="52.333333333333336"/>
    <n v="0.52333333333333332"/>
    <n v="850"/>
  </r>
  <r>
    <x v="0"/>
    <x v="0"/>
    <s v="high school"/>
    <s v="standard"/>
    <x v="0"/>
    <n v="44"/>
    <n v="61"/>
    <n v="52"/>
    <n v="157"/>
    <n v="52.333333333333336"/>
    <n v="0.52333333333333332"/>
    <n v="850"/>
  </r>
  <r>
    <x v="0"/>
    <x v="1"/>
    <s v="high school"/>
    <s v="free/reduced"/>
    <x v="1"/>
    <n v="46"/>
    <n v="54"/>
    <n v="58"/>
    <n v="158"/>
    <n v="52.666666666666664"/>
    <n v="0.52666666666666662"/>
    <n v="843"/>
  </r>
  <r>
    <x v="1"/>
    <x v="4"/>
    <s v="high school"/>
    <s v="standard"/>
    <x v="0"/>
    <n v="54"/>
    <n v="52"/>
    <n v="52"/>
    <n v="158"/>
    <n v="52.666666666666664"/>
    <n v="0.52666666666666662"/>
    <n v="843"/>
  </r>
  <r>
    <x v="0"/>
    <x v="4"/>
    <s v="associate's degree"/>
    <s v="free/reduced"/>
    <x v="0"/>
    <n v="47"/>
    <n v="53"/>
    <n v="58"/>
    <n v="158"/>
    <n v="52.666666666666664"/>
    <n v="0.52666666666666662"/>
    <n v="843"/>
  </r>
  <r>
    <x v="0"/>
    <x v="4"/>
    <s v="high school"/>
    <s v="free/reduced"/>
    <x v="0"/>
    <n v="49"/>
    <n v="57"/>
    <n v="52"/>
    <n v="158"/>
    <n v="52.666666666666664"/>
    <n v="0.52666666666666662"/>
    <n v="843"/>
  </r>
  <r>
    <x v="1"/>
    <x v="1"/>
    <s v="high school"/>
    <s v="free/reduced"/>
    <x v="0"/>
    <n v="63"/>
    <n v="48"/>
    <n v="47"/>
    <n v="158"/>
    <n v="52.666666666666664"/>
    <n v="0.52666666666666662"/>
    <n v="843"/>
  </r>
  <r>
    <x v="0"/>
    <x v="1"/>
    <s v="high school"/>
    <s v="standard"/>
    <x v="0"/>
    <n v="50"/>
    <n v="53"/>
    <n v="55"/>
    <n v="158"/>
    <n v="52.666666666666664"/>
    <n v="0.52666666666666662"/>
    <n v="843"/>
  </r>
  <r>
    <x v="0"/>
    <x v="0"/>
    <s v="some high school"/>
    <s v="free/reduced"/>
    <x v="0"/>
    <n v="48"/>
    <n v="58"/>
    <n v="52"/>
    <n v="158"/>
    <n v="52.666666666666664"/>
    <n v="0.52666666666666662"/>
    <n v="843"/>
  </r>
  <r>
    <x v="1"/>
    <x v="4"/>
    <s v="associate's degree"/>
    <s v="free/reduced"/>
    <x v="0"/>
    <n v="52"/>
    <n v="57"/>
    <n v="50"/>
    <n v="159"/>
    <n v="53"/>
    <n v="0.53"/>
    <n v="841"/>
  </r>
  <r>
    <x v="0"/>
    <x v="4"/>
    <s v="associate's degree"/>
    <s v="free/reduced"/>
    <x v="0"/>
    <n v="46"/>
    <n v="56"/>
    <n v="57"/>
    <n v="159"/>
    <n v="53"/>
    <n v="0.53"/>
    <n v="841"/>
  </r>
  <r>
    <x v="0"/>
    <x v="3"/>
    <s v="associate's degree"/>
    <s v="free/reduced"/>
    <x v="0"/>
    <n v="50"/>
    <n v="56"/>
    <n v="54"/>
    <n v="160"/>
    <n v="53.333333333333336"/>
    <n v="0.53333333333333333"/>
    <n v="837"/>
  </r>
  <r>
    <x v="0"/>
    <x v="0"/>
    <s v="associate's degree"/>
    <s v="standard"/>
    <x v="0"/>
    <n v="39"/>
    <n v="64"/>
    <n v="57"/>
    <n v="160"/>
    <n v="53.333333333333336"/>
    <n v="0.53333333333333333"/>
    <n v="837"/>
  </r>
  <r>
    <x v="1"/>
    <x v="0"/>
    <s v="some high school"/>
    <s v="free/reduced"/>
    <x v="1"/>
    <n v="51"/>
    <n v="56"/>
    <n v="53"/>
    <n v="160"/>
    <n v="53.333333333333336"/>
    <n v="0.53333333333333333"/>
    <n v="837"/>
  </r>
  <r>
    <x v="0"/>
    <x v="4"/>
    <s v="some high school"/>
    <s v="standard"/>
    <x v="0"/>
    <n v="48"/>
    <n v="58"/>
    <n v="54"/>
    <n v="160"/>
    <n v="53.333333333333336"/>
    <n v="0.53333333333333333"/>
    <n v="837"/>
  </r>
  <r>
    <x v="0"/>
    <x v="2"/>
    <s v="master's degree"/>
    <s v="standard"/>
    <x v="0"/>
    <n v="50"/>
    <n v="53"/>
    <n v="58"/>
    <n v="161"/>
    <n v="53.666666666666664"/>
    <n v="0.53666666666666663"/>
    <n v="830"/>
  </r>
  <r>
    <x v="1"/>
    <x v="0"/>
    <s v="bachelor's degree"/>
    <s v="standard"/>
    <x v="0"/>
    <n v="58"/>
    <n v="55"/>
    <n v="48"/>
    <n v="161"/>
    <n v="53.666666666666664"/>
    <n v="0.53666666666666663"/>
    <n v="830"/>
  </r>
  <r>
    <x v="1"/>
    <x v="4"/>
    <s v="high school"/>
    <s v="standard"/>
    <x v="0"/>
    <n v="57"/>
    <n v="50"/>
    <n v="54"/>
    <n v="161"/>
    <n v="53.666666666666664"/>
    <n v="0.53666666666666663"/>
    <n v="830"/>
  </r>
  <r>
    <x v="0"/>
    <x v="0"/>
    <s v="associate's degree"/>
    <s v="standard"/>
    <x v="0"/>
    <n v="46"/>
    <n v="58"/>
    <n v="57"/>
    <n v="161"/>
    <n v="53.666666666666664"/>
    <n v="0.53666666666666663"/>
    <n v="830"/>
  </r>
  <r>
    <x v="1"/>
    <x v="0"/>
    <s v="high school"/>
    <s v="free/reduced"/>
    <x v="1"/>
    <n v="58"/>
    <n v="51"/>
    <n v="52"/>
    <n v="161"/>
    <n v="53.666666666666664"/>
    <n v="0.53666666666666663"/>
    <n v="830"/>
  </r>
  <r>
    <x v="0"/>
    <x v="4"/>
    <s v="associate's degree"/>
    <s v="free/reduced"/>
    <x v="0"/>
    <n v="43"/>
    <n v="60"/>
    <n v="58"/>
    <n v="161"/>
    <n v="53.666666666666664"/>
    <n v="0.53666666666666663"/>
    <n v="830"/>
  </r>
  <r>
    <x v="0"/>
    <x v="4"/>
    <s v="associate's degree"/>
    <s v="free/reduced"/>
    <x v="1"/>
    <n v="42"/>
    <n v="61"/>
    <n v="58"/>
    <n v="161"/>
    <n v="53.666666666666664"/>
    <n v="0.53666666666666663"/>
    <n v="830"/>
  </r>
  <r>
    <x v="1"/>
    <x v="3"/>
    <s v="high school"/>
    <s v="free/reduced"/>
    <x v="0"/>
    <n v="55"/>
    <n v="56"/>
    <n v="51"/>
    <n v="162"/>
    <n v="54"/>
    <n v="0.54"/>
    <n v="824"/>
  </r>
  <r>
    <x v="1"/>
    <x v="4"/>
    <s v="some high school"/>
    <s v="free/reduced"/>
    <x v="0"/>
    <n v="56"/>
    <n v="54"/>
    <n v="52"/>
    <n v="162"/>
    <n v="54"/>
    <n v="0.54"/>
    <n v="824"/>
  </r>
  <r>
    <x v="0"/>
    <x v="1"/>
    <s v="some college"/>
    <s v="free/reduced"/>
    <x v="1"/>
    <n v="48"/>
    <n v="56"/>
    <n v="58"/>
    <n v="162"/>
    <n v="54"/>
    <n v="0.54"/>
    <n v="824"/>
  </r>
  <r>
    <x v="0"/>
    <x v="1"/>
    <s v="some high school"/>
    <s v="free/reduced"/>
    <x v="0"/>
    <n v="49"/>
    <n v="58"/>
    <n v="55"/>
    <n v="162"/>
    <n v="54"/>
    <n v="0.54"/>
    <n v="824"/>
  </r>
  <r>
    <x v="0"/>
    <x v="1"/>
    <s v="associate's degree"/>
    <s v="free/reduced"/>
    <x v="0"/>
    <n v="46"/>
    <n v="61"/>
    <n v="55"/>
    <n v="162"/>
    <n v="54"/>
    <n v="0.54"/>
    <n v="824"/>
  </r>
  <r>
    <x v="1"/>
    <x v="2"/>
    <s v="high school"/>
    <s v="standard"/>
    <x v="0"/>
    <n v="57"/>
    <n v="51"/>
    <n v="54"/>
    <n v="162"/>
    <n v="54"/>
    <n v="0.54"/>
    <n v="824"/>
  </r>
  <r>
    <x v="0"/>
    <x v="4"/>
    <s v="some college"/>
    <s v="standard"/>
    <x v="0"/>
    <n v="51"/>
    <n v="58"/>
    <n v="54"/>
    <n v="163"/>
    <n v="54.333333333333336"/>
    <n v="0.54333333333333333"/>
    <n v="819"/>
  </r>
  <r>
    <x v="0"/>
    <x v="4"/>
    <s v="high school"/>
    <s v="standard"/>
    <x v="0"/>
    <n v="56"/>
    <n v="52"/>
    <n v="55"/>
    <n v="163"/>
    <n v="54.333333333333336"/>
    <n v="0.54333333333333333"/>
    <n v="819"/>
  </r>
  <r>
    <x v="1"/>
    <x v="4"/>
    <s v="some high school"/>
    <s v="free/reduced"/>
    <x v="0"/>
    <n v="62"/>
    <n v="49"/>
    <n v="52"/>
    <n v="163"/>
    <n v="54.333333333333336"/>
    <n v="0.54333333333333333"/>
    <n v="819"/>
  </r>
  <r>
    <x v="1"/>
    <x v="0"/>
    <s v="master's degree"/>
    <s v="free/reduced"/>
    <x v="0"/>
    <n v="54"/>
    <n v="59"/>
    <n v="50"/>
    <n v="163"/>
    <n v="54.333333333333336"/>
    <n v="0.54333333333333333"/>
    <n v="819"/>
  </r>
  <r>
    <x v="0"/>
    <x v="2"/>
    <s v="high school"/>
    <s v="free/reduced"/>
    <x v="1"/>
    <n v="53"/>
    <n v="50"/>
    <n v="60"/>
    <n v="163"/>
    <n v="54.333333333333336"/>
    <n v="0.54333333333333333"/>
    <n v="819"/>
  </r>
  <r>
    <x v="1"/>
    <x v="0"/>
    <s v="associate's degree"/>
    <s v="standard"/>
    <x v="0"/>
    <n v="58"/>
    <n v="54"/>
    <n v="52"/>
    <n v="164"/>
    <n v="54.666666666666664"/>
    <n v="0.54666666666666663"/>
    <n v="810"/>
  </r>
  <r>
    <x v="0"/>
    <x v="0"/>
    <s v="high school"/>
    <s v="free/reduced"/>
    <x v="0"/>
    <n v="42"/>
    <n v="62"/>
    <n v="60"/>
    <n v="164"/>
    <n v="54.666666666666664"/>
    <n v="0.54666666666666663"/>
    <n v="810"/>
  </r>
  <r>
    <x v="1"/>
    <x v="4"/>
    <s v="some college"/>
    <s v="free/reduced"/>
    <x v="0"/>
    <n v="61"/>
    <n v="47"/>
    <n v="56"/>
    <n v="164"/>
    <n v="54.666666666666664"/>
    <n v="0.54666666666666663"/>
    <n v="810"/>
  </r>
  <r>
    <x v="1"/>
    <x v="2"/>
    <s v="some college"/>
    <s v="standard"/>
    <x v="1"/>
    <n v="61"/>
    <n v="51"/>
    <n v="52"/>
    <n v="164"/>
    <n v="54.666666666666664"/>
    <n v="0.54666666666666663"/>
    <n v="810"/>
  </r>
  <r>
    <x v="0"/>
    <x v="0"/>
    <s v="associate's degree"/>
    <s v="standard"/>
    <x v="0"/>
    <n v="52"/>
    <n v="55"/>
    <n v="57"/>
    <n v="164"/>
    <n v="54.666666666666664"/>
    <n v="0.54666666666666663"/>
    <n v="810"/>
  </r>
  <r>
    <x v="1"/>
    <x v="1"/>
    <s v="bachelor's degree"/>
    <s v="standard"/>
    <x v="0"/>
    <n v="59"/>
    <n v="54"/>
    <n v="51"/>
    <n v="164"/>
    <n v="54.666666666666664"/>
    <n v="0.54666666666666663"/>
    <n v="810"/>
  </r>
  <r>
    <x v="1"/>
    <x v="0"/>
    <s v="high school"/>
    <s v="free/reduced"/>
    <x v="0"/>
    <n v="59"/>
    <n v="53"/>
    <n v="52"/>
    <n v="164"/>
    <n v="54.666666666666664"/>
    <n v="0.54666666666666663"/>
    <n v="810"/>
  </r>
  <r>
    <x v="1"/>
    <x v="1"/>
    <s v="high school"/>
    <s v="standard"/>
    <x v="0"/>
    <n v="59"/>
    <n v="58"/>
    <n v="47"/>
    <n v="164"/>
    <n v="54.666666666666664"/>
    <n v="0.54666666666666663"/>
    <n v="810"/>
  </r>
  <r>
    <x v="1"/>
    <x v="0"/>
    <s v="high school"/>
    <s v="standard"/>
    <x v="1"/>
    <n v="58"/>
    <n v="52"/>
    <n v="54"/>
    <n v="164"/>
    <n v="54.666666666666664"/>
    <n v="0.54666666666666663"/>
    <n v="810"/>
  </r>
  <r>
    <x v="0"/>
    <x v="4"/>
    <s v="high school"/>
    <s v="free/reduced"/>
    <x v="1"/>
    <n v="52"/>
    <n v="57"/>
    <n v="56"/>
    <n v="165"/>
    <n v="55"/>
    <n v="0.55000000000000004"/>
    <n v="808"/>
  </r>
  <r>
    <x v="1"/>
    <x v="4"/>
    <s v="some college"/>
    <s v="standard"/>
    <x v="0"/>
    <n v="55"/>
    <n v="58"/>
    <n v="52"/>
    <n v="165"/>
    <n v="55"/>
    <n v="0.55000000000000004"/>
    <n v="808"/>
  </r>
  <r>
    <x v="1"/>
    <x v="0"/>
    <s v="high school"/>
    <s v="standard"/>
    <x v="0"/>
    <n v="62"/>
    <n v="55"/>
    <n v="49"/>
    <n v="166"/>
    <n v="55.333333333333336"/>
    <n v="0.55333333333333334"/>
    <n v="803"/>
  </r>
  <r>
    <x v="0"/>
    <x v="2"/>
    <s v="some high school"/>
    <s v="free/reduced"/>
    <x v="0"/>
    <n v="44"/>
    <n v="64"/>
    <n v="58"/>
    <n v="166"/>
    <n v="55.333333333333336"/>
    <n v="0.55333333333333334"/>
    <n v="803"/>
  </r>
  <r>
    <x v="1"/>
    <x v="0"/>
    <s v="bachelor's degree"/>
    <s v="free/reduced"/>
    <x v="0"/>
    <n v="53"/>
    <n v="58"/>
    <n v="55"/>
    <n v="166"/>
    <n v="55.333333333333336"/>
    <n v="0.55333333333333334"/>
    <n v="803"/>
  </r>
  <r>
    <x v="1"/>
    <x v="0"/>
    <s v="associate's degree"/>
    <s v="free/reduced"/>
    <x v="0"/>
    <n v="58"/>
    <n v="55"/>
    <n v="53"/>
    <n v="166"/>
    <n v="55.333333333333336"/>
    <n v="0.55333333333333334"/>
    <n v="803"/>
  </r>
  <r>
    <x v="0"/>
    <x v="0"/>
    <s v="bachelor's degree"/>
    <s v="free/reduced"/>
    <x v="0"/>
    <n v="43"/>
    <n v="62"/>
    <n v="61"/>
    <n v="166"/>
    <n v="55.333333333333336"/>
    <n v="0.55333333333333334"/>
    <n v="803"/>
  </r>
  <r>
    <x v="1"/>
    <x v="0"/>
    <s v="associate's degree"/>
    <s v="free/reduced"/>
    <x v="1"/>
    <n v="60"/>
    <n v="51"/>
    <n v="56"/>
    <n v="167"/>
    <n v="55.666666666666664"/>
    <n v="0.55666666666666664"/>
    <n v="796"/>
  </r>
  <r>
    <x v="1"/>
    <x v="2"/>
    <s v="bachelor's degree"/>
    <s v="free/reduced"/>
    <x v="1"/>
    <n v="49"/>
    <n v="58"/>
    <n v="60"/>
    <n v="167"/>
    <n v="55.666666666666664"/>
    <n v="0.55666666666666664"/>
    <n v="796"/>
  </r>
  <r>
    <x v="1"/>
    <x v="0"/>
    <s v="associate's degree"/>
    <s v="standard"/>
    <x v="1"/>
    <n v="57"/>
    <n v="54"/>
    <n v="56"/>
    <n v="167"/>
    <n v="55.666666666666664"/>
    <n v="0.55666666666666664"/>
    <n v="796"/>
  </r>
  <r>
    <x v="1"/>
    <x v="3"/>
    <s v="high school"/>
    <s v="free/reduced"/>
    <x v="1"/>
    <n v="57"/>
    <n v="56"/>
    <n v="54"/>
    <n v="167"/>
    <n v="55.666666666666664"/>
    <n v="0.55666666666666664"/>
    <n v="796"/>
  </r>
  <r>
    <x v="0"/>
    <x v="4"/>
    <s v="associate's degree"/>
    <s v="free/reduced"/>
    <x v="0"/>
    <n v="52"/>
    <n v="59"/>
    <n v="56"/>
    <n v="167"/>
    <n v="55.666666666666664"/>
    <n v="0.55666666666666664"/>
    <n v="796"/>
  </r>
  <r>
    <x v="0"/>
    <x v="4"/>
    <s v="some college"/>
    <s v="free/reduced"/>
    <x v="0"/>
    <n v="49"/>
    <n v="58"/>
    <n v="60"/>
    <n v="167"/>
    <n v="55.666666666666664"/>
    <n v="0.55666666666666664"/>
    <n v="796"/>
  </r>
  <r>
    <x v="0"/>
    <x v="4"/>
    <s v="high school"/>
    <s v="standard"/>
    <x v="0"/>
    <n v="45"/>
    <n v="63"/>
    <n v="59"/>
    <n v="167"/>
    <n v="55.666666666666664"/>
    <n v="0.55666666666666664"/>
    <n v="796"/>
  </r>
  <r>
    <x v="1"/>
    <x v="4"/>
    <s v="associate's degree"/>
    <s v="standard"/>
    <x v="0"/>
    <n v="61"/>
    <n v="55"/>
    <n v="52"/>
    <n v="168"/>
    <n v="56"/>
    <n v="0.56000000000000005"/>
    <n v="786"/>
  </r>
  <r>
    <x v="0"/>
    <x v="0"/>
    <s v="some college"/>
    <s v="standard"/>
    <x v="0"/>
    <n v="52"/>
    <n v="58"/>
    <n v="58"/>
    <n v="168"/>
    <n v="56"/>
    <n v="0.56000000000000005"/>
    <n v="786"/>
  </r>
  <r>
    <x v="1"/>
    <x v="1"/>
    <s v="bachelor's degree"/>
    <s v="free/reduced"/>
    <x v="0"/>
    <n v="55"/>
    <n v="59"/>
    <n v="54"/>
    <n v="168"/>
    <n v="56"/>
    <n v="0.56000000000000005"/>
    <n v="786"/>
  </r>
  <r>
    <x v="1"/>
    <x v="4"/>
    <s v="high school"/>
    <s v="free/reduced"/>
    <x v="0"/>
    <n v="60"/>
    <n v="57"/>
    <n v="51"/>
    <n v="168"/>
    <n v="56"/>
    <n v="0.56000000000000005"/>
    <n v="786"/>
  </r>
  <r>
    <x v="0"/>
    <x v="0"/>
    <s v="some high school"/>
    <s v="standard"/>
    <x v="0"/>
    <n v="49"/>
    <n v="63"/>
    <n v="56"/>
    <n v="168"/>
    <n v="56"/>
    <n v="0.56000000000000005"/>
    <n v="786"/>
  </r>
  <r>
    <x v="0"/>
    <x v="3"/>
    <s v="some college"/>
    <s v="free/reduced"/>
    <x v="0"/>
    <n v="53"/>
    <n v="58"/>
    <n v="57"/>
    <n v="168"/>
    <n v="56"/>
    <n v="0.56000000000000005"/>
    <n v="786"/>
  </r>
  <r>
    <x v="0"/>
    <x v="2"/>
    <s v="bachelor's degree"/>
    <s v="standard"/>
    <x v="0"/>
    <n v="45"/>
    <n v="59"/>
    <n v="64"/>
    <n v="168"/>
    <n v="56"/>
    <n v="0.56000000000000005"/>
    <n v="786"/>
  </r>
  <r>
    <x v="1"/>
    <x v="1"/>
    <s v="associate's degree"/>
    <s v="free/reduced"/>
    <x v="1"/>
    <n v="58"/>
    <n v="57"/>
    <n v="53"/>
    <n v="168"/>
    <n v="56"/>
    <n v="0.56000000000000005"/>
    <n v="786"/>
  </r>
  <r>
    <x v="1"/>
    <x v="4"/>
    <s v="high school"/>
    <s v="standard"/>
    <x v="0"/>
    <n v="64"/>
    <n v="54"/>
    <n v="50"/>
    <n v="168"/>
    <n v="56"/>
    <n v="0.56000000000000005"/>
    <n v="786"/>
  </r>
  <r>
    <x v="0"/>
    <x v="0"/>
    <s v="associate's degree"/>
    <s v="standard"/>
    <x v="0"/>
    <n v="53"/>
    <n v="62"/>
    <n v="53"/>
    <n v="168"/>
    <n v="56"/>
    <n v="0.56000000000000005"/>
    <n v="786"/>
  </r>
  <r>
    <x v="0"/>
    <x v="2"/>
    <s v="some college"/>
    <s v="free/reduced"/>
    <x v="0"/>
    <n v="49"/>
    <n v="65"/>
    <n v="55"/>
    <n v="169"/>
    <n v="56.333333333333336"/>
    <n v="0.56333333333333335"/>
    <n v="780"/>
  </r>
  <r>
    <x v="1"/>
    <x v="0"/>
    <s v="associate's degree"/>
    <s v="standard"/>
    <x v="1"/>
    <n v="51"/>
    <n v="60"/>
    <n v="58"/>
    <n v="169"/>
    <n v="56.333333333333336"/>
    <n v="0.56333333333333335"/>
    <n v="780"/>
  </r>
  <r>
    <x v="0"/>
    <x v="0"/>
    <s v="bachelor's degree"/>
    <s v="free/reduced"/>
    <x v="0"/>
    <n v="44"/>
    <n v="63"/>
    <n v="62"/>
    <n v="169"/>
    <n v="56.333333333333336"/>
    <n v="0.56333333333333335"/>
    <n v="780"/>
  </r>
  <r>
    <x v="1"/>
    <x v="0"/>
    <s v="some college"/>
    <s v="free/reduced"/>
    <x v="0"/>
    <n v="58"/>
    <n v="57"/>
    <n v="54"/>
    <n v="169"/>
    <n v="56.333333333333336"/>
    <n v="0.56333333333333335"/>
    <n v="780"/>
  </r>
  <r>
    <x v="0"/>
    <x v="0"/>
    <s v="bachelor's degree"/>
    <s v="free/reduced"/>
    <x v="0"/>
    <n v="50"/>
    <n v="60"/>
    <n v="59"/>
    <n v="169"/>
    <n v="56.333333333333336"/>
    <n v="0.56333333333333335"/>
    <n v="780"/>
  </r>
  <r>
    <x v="0"/>
    <x v="4"/>
    <s v="some high school"/>
    <s v="free/reduced"/>
    <x v="1"/>
    <n v="40"/>
    <n v="65"/>
    <n v="64"/>
    <n v="169"/>
    <n v="56.333333333333336"/>
    <n v="0.56333333333333335"/>
    <n v="780"/>
  </r>
  <r>
    <x v="1"/>
    <x v="1"/>
    <s v="associate's degree"/>
    <s v="free/reduced"/>
    <x v="0"/>
    <n v="57"/>
    <n v="56"/>
    <n v="57"/>
    <n v="170"/>
    <n v="56.666666666666664"/>
    <n v="0.56666666666666665"/>
    <n v="776"/>
  </r>
  <r>
    <x v="1"/>
    <x v="0"/>
    <s v="associate's degree"/>
    <s v="free/reduced"/>
    <x v="0"/>
    <n v="55"/>
    <n v="61"/>
    <n v="54"/>
    <n v="170"/>
    <n v="56.666666666666664"/>
    <n v="0.56666666666666665"/>
    <n v="776"/>
  </r>
  <r>
    <x v="0"/>
    <x v="0"/>
    <s v="some high school"/>
    <s v="free/reduced"/>
    <x v="1"/>
    <n v="50"/>
    <n v="60"/>
    <n v="60"/>
    <n v="170"/>
    <n v="56.666666666666664"/>
    <n v="0.56666666666666665"/>
    <n v="776"/>
  </r>
  <r>
    <x v="0"/>
    <x v="1"/>
    <s v="high school"/>
    <s v="standard"/>
    <x v="0"/>
    <n v="48"/>
    <n v="62"/>
    <n v="60"/>
    <n v="170"/>
    <n v="56.666666666666664"/>
    <n v="0.56666666666666665"/>
    <n v="776"/>
  </r>
  <r>
    <x v="1"/>
    <x v="3"/>
    <s v="associate's degree"/>
    <s v="standard"/>
    <x v="1"/>
    <n v="62"/>
    <n v="56"/>
    <n v="53"/>
    <n v="171"/>
    <n v="57"/>
    <n v="0.56999999999999995"/>
    <n v="772"/>
  </r>
  <r>
    <x v="1"/>
    <x v="0"/>
    <s v="high school"/>
    <s v="free/reduced"/>
    <x v="0"/>
    <n v="58"/>
    <n v="61"/>
    <n v="52"/>
    <n v="171"/>
    <n v="57"/>
    <n v="0.56999999999999995"/>
    <n v="772"/>
  </r>
  <r>
    <x v="0"/>
    <x v="0"/>
    <s v="some college"/>
    <s v="standard"/>
    <x v="0"/>
    <n v="53"/>
    <n v="62"/>
    <n v="56"/>
    <n v="171"/>
    <n v="57"/>
    <n v="0.56999999999999995"/>
    <n v="772"/>
  </r>
  <r>
    <x v="1"/>
    <x v="1"/>
    <s v="high school"/>
    <s v="standard"/>
    <x v="0"/>
    <n v="62"/>
    <n v="55"/>
    <n v="54"/>
    <n v="171"/>
    <n v="57"/>
    <n v="0.56999999999999995"/>
    <n v="772"/>
  </r>
  <r>
    <x v="0"/>
    <x v="4"/>
    <s v="master's degree"/>
    <s v="free/reduced"/>
    <x v="1"/>
    <n v="47"/>
    <n v="58"/>
    <n v="67"/>
    <n v="172"/>
    <n v="57.333333333333336"/>
    <n v="0.57333333333333336"/>
    <n v="764"/>
  </r>
  <r>
    <x v="1"/>
    <x v="0"/>
    <s v="high school"/>
    <s v="standard"/>
    <x v="0"/>
    <n v="61"/>
    <n v="56"/>
    <n v="55"/>
    <n v="172"/>
    <n v="57.333333333333336"/>
    <n v="0.57333333333333336"/>
    <n v="764"/>
  </r>
  <r>
    <x v="1"/>
    <x v="0"/>
    <s v="some college"/>
    <s v="free/reduced"/>
    <x v="0"/>
    <n v="65"/>
    <n v="58"/>
    <n v="49"/>
    <n v="172"/>
    <n v="57.333333333333336"/>
    <n v="0.57333333333333336"/>
    <n v="764"/>
  </r>
  <r>
    <x v="1"/>
    <x v="4"/>
    <s v="some college"/>
    <s v="standard"/>
    <x v="0"/>
    <n v="71"/>
    <n v="49"/>
    <n v="52"/>
    <n v="172"/>
    <n v="57.333333333333336"/>
    <n v="0.57333333333333336"/>
    <n v="764"/>
  </r>
  <r>
    <x v="1"/>
    <x v="0"/>
    <s v="some high school"/>
    <s v="standard"/>
    <x v="0"/>
    <n v="57"/>
    <n v="61"/>
    <n v="54"/>
    <n v="172"/>
    <n v="57.333333333333336"/>
    <n v="0.57333333333333336"/>
    <n v="764"/>
  </r>
  <r>
    <x v="1"/>
    <x v="3"/>
    <s v="associate's degree"/>
    <s v="free/reduced"/>
    <x v="0"/>
    <n v="64"/>
    <n v="56"/>
    <n v="52"/>
    <n v="172"/>
    <n v="57.333333333333336"/>
    <n v="0.57333333333333336"/>
    <n v="764"/>
  </r>
  <r>
    <x v="0"/>
    <x v="3"/>
    <s v="high school"/>
    <s v="free/reduced"/>
    <x v="0"/>
    <n v="57"/>
    <n v="58"/>
    <n v="57"/>
    <n v="172"/>
    <n v="57.333333333333336"/>
    <n v="0.57333333333333336"/>
    <n v="764"/>
  </r>
  <r>
    <x v="1"/>
    <x v="0"/>
    <s v="high school"/>
    <s v="free/reduced"/>
    <x v="0"/>
    <n v="62"/>
    <n v="55"/>
    <n v="55"/>
    <n v="172"/>
    <n v="57.333333333333336"/>
    <n v="0.57333333333333336"/>
    <n v="764"/>
  </r>
  <r>
    <x v="0"/>
    <x v="0"/>
    <s v="associate's degree"/>
    <s v="free/reduced"/>
    <x v="0"/>
    <n v="54"/>
    <n v="58"/>
    <n v="61"/>
    <n v="173"/>
    <n v="57.666666666666664"/>
    <n v="0.57666666666666666"/>
    <n v="756"/>
  </r>
  <r>
    <x v="0"/>
    <x v="4"/>
    <s v="some high school"/>
    <s v="free/reduced"/>
    <x v="0"/>
    <n v="50"/>
    <n v="64"/>
    <n v="59"/>
    <n v="173"/>
    <n v="57.666666666666664"/>
    <n v="0.57666666666666666"/>
    <n v="756"/>
  </r>
  <r>
    <x v="1"/>
    <x v="1"/>
    <s v="some high school"/>
    <s v="standard"/>
    <x v="1"/>
    <n v="61"/>
    <n v="56"/>
    <n v="56"/>
    <n v="173"/>
    <n v="57.666666666666664"/>
    <n v="0.57666666666666666"/>
    <n v="756"/>
  </r>
  <r>
    <x v="1"/>
    <x v="4"/>
    <s v="some high school"/>
    <s v="standard"/>
    <x v="0"/>
    <n v="60"/>
    <n v="59"/>
    <n v="54"/>
    <n v="173"/>
    <n v="57.666666666666664"/>
    <n v="0.57666666666666666"/>
    <n v="756"/>
  </r>
  <r>
    <x v="1"/>
    <x v="4"/>
    <s v="some high school"/>
    <s v="free/reduced"/>
    <x v="1"/>
    <n v="55"/>
    <n v="59"/>
    <n v="59"/>
    <n v="173"/>
    <n v="57.666666666666664"/>
    <n v="0.57666666666666666"/>
    <n v="756"/>
  </r>
  <r>
    <x v="0"/>
    <x v="0"/>
    <s v="associate's degree"/>
    <s v="standard"/>
    <x v="1"/>
    <n v="52"/>
    <n v="59"/>
    <n v="62"/>
    <n v="173"/>
    <n v="57.666666666666664"/>
    <n v="0.57666666666666666"/>
    <n v="756"/>
  </r>
  <r>
    <x v="1"/>
    <x v="0"/>
    <s v="some high school"/>
    <s v="standard"/>
    <x v="0"/>
    <n v="64"/>
    <n v="58"/>
    <n v="51"/>
    <n v="173"/>
    <n v="57.666666666666664"/>
    <n v="0.57666666666666666"/>
    <n v="756"/>
  </r>
  <r>
    <x v="0"/>
    <x v="0"/>
    <s v="associate's degree"/>
    <s v="standard"/>
    <x v="0"/>
    <n v="54"/>
    <n v="61"/>
    <n v="58"/>
    <n v="173"/>
    <n v="57.666666666666664"/>
    <n v="0.57666666666666666"/>
    <n v="756"/>
  </r>
  <r>
    <x v="1"/>
    <x v="0"/>
    <s v="some high school"/>
    <s v="free/reduced"/>
    <x v="0"/>
    <n v="61"/>
    <n v="57"/>
    <n v="56"/>
    <n v="174"/>
    <n v="58"/>
    <n v="0.57999999999999996"/>
    <n v="754"/>
  </r>
  <r>
    <x v="1"/>
    <x v="1"/>
    <s v="some high school"/>
    <s v="standard"/>
    <x v="1"/>
    <n v="64"/>
    <n v="53"/>
    <n v="57"/>
    <n v="174"/>
    <n v="58"/>
    <n v="0.57999999999999996"/>
    <n v="754"/>
  </r>
  <r>
    <x v="1"/>
    <x v="4"/>
    <s v="some college"/>
    <s v="standard"/>
    <x v="1"/>
    <n v="58"/>
    <n v="59"/>
    <n v="58"/>
    <n v="175"/>
    <n v="58.333333333333336"/>
    <n v="0.58333333333333337"/>
    <n v="745"/>
  </r>
  <r>
    <x v="1"/>
    <x v="1"/>
    <s v="associate's degree"/>
    <s v="free/reduced"/>
    <x v="0"/>
    <n v="61"/>
    <n v="58"/>
    <n v="56"/>
    <n v="175"/>
    <n v="58.333333333333336"/>
    <n v="0.58333333333333337"/>
    <n v="745"/>
  </r>
  <r>
    <x v="0"/>
    <x v="4"/>
    <s v="some high school"/>
    <s v="standard"/>
    <x v="0"/>
    <n v="51"/>
    <n v="63"/>
    <n v="61"/>
    <n v="175"/>
    <n v="58.333333333333336"/>
    <n v="0.58333333333333337"/>
    <n v="745"/>
  </r>
  <r>
    <x v="1"/>
    <x v="3"/>
    <s v="some college"/>
    <s v="standard"/>
    <x v="0"/>
    <n v="66"/>
    <n v="57"/>
    <n v="52"/>
    <n v="175"/>
    <n v="58.333333333333336"/>
    <n v="0.58333333333333337"/>
    <n v="745"/>
  </r>
  <r>
    <x v="0"/>
    <x v="0"/>
    <s v="high school"/>
    <s v="standard"/>
    <x v="0"/>
    <n v="54"/>
    <n v="59"/>
    <n v="62"/>
    <n v="175"/>
    <n v="58.333333333333336"/>
    <n v="0.58333333333333337"/>
    <n v="745"/>
  </r>
  <r>
    <x v="1"/>
    <x v="2"/>
    <s v="some college"/>
    <s v="free/reduced"/>
    <x v="0"/>
    <n v="58"/>
    <n v="60"/>
    <n v="57"/>
    <n v="175"/>
    <n v="58.333333333333336"/>
    <n v="0.58333333333333337"/>
    <n v="745"/>
  </r>
  <r>
    <x v="1"/>
    <x v="1"/>
    <s v="some high school"/>
    <s v="standard"/>
    <x v="0"/>
    <n v="68"/>
    <n v="54"/>
    <n v="53"/>
    <n v="175"/>
    <n v="58.333333333333336"/>
    <n v="0.58333333333333337"/>
    <n v="745"/>
  </r>
  <r>
    <x v="0"/>
    <x v="0"/>
    <s v="bachelor's degree"/>
    <s v="free/reduced"/>
    <x v="1"/>
    <n v="47"/>
    <n v="62"/>
    <n v="66"/>
    <n v="175"/>
    <n v="58.333333333333336"/>
    <n v="0.58333333333333337"/>
    <n v="745"/>
  </r>
  <r>
    <x v="0"/>
    <x v="4"/>
    <s v="some college"/>
    <s v="free/reduced"/>
    <x v="0"/>
    <n v="49"/>
    <n v="65"/>
    <n v="61"/>
    <n v="175"/>
    <n v="58.333333333333336"/>
    <n v="0.58333333333333337"/>
    <n v="745"/>
  </r>
  <r>
    <x v="0"/>
    <x v="1"/>
    <s v="associate's degree"/>
    <s v="standard"/>
    <x v="0"/>
    <n v="53"/>
    <n v="58"/>
    <n v="65"/>
    <n v="176"/>
    <n v="58.666666666666664"/>
    <n v="0.58666666666666667"/>
    <n v="736"/>
  </r>
  <r>
    <x v="1"/>
    <x v="1"/>
    <s v="associate's degree"/>
    <s v="standard"/>
    <x v="0"/>
    <n v="65"/>
    <n v="54"/>
    <n v="57"/>
    <n v="176"/>
    <n v="58.666666666666664"/>
    <n v="0.58666666666666667"/>
    <n v="736"/>
  </r>
  <r>
    <x v="0"/>
    <x v="4"/>
    <s v="some high school"/>
    <s v="standard"/>
    <x v="0"/>
    <n v="59"/>
    <n v="58"/>
    <n v="59"/>
    <n v="176"/>
    <n v="58.666666666666664"/>
    <n v="0.58666666666666667"/>
    <n v="736"/>
  </r>
  <r>
    <x v="1"/>
    <x v="4"/>
    <s v="high school"/>
    <s v="free/reduced"/>
    <x v="0"/>
    <n v="63"/>
    <n v="57"/>
    <n v="56"/>
    <n v="176"/>
    <n v="58.666666666666664"/>
    <n v="0.58666666666666667"/>
    <n v="736"/>
  </r>
  <r>
    <x v="0"/>
    <x v="0"/>
    <s v="some college"/>
    <s v="free/reduced"/>
    <x v="0"/>
    <n v="46"/>
    <n v="64"/>
    <n v="66"/>
    <n v="176"/>
    <n v="58.666666666666664"/>
    <n v="0.58666666666666667"/>
    <n v="736"/>
  </r>
  <r>
    <x v="0"/>
    <x v="0"/>
    <s v="associate's degree"/>
    <s v="free/reduced"/>
    <x v="0"/>
    <n v="53"/>
    <n v="61"/>
    <n v="62"/>
    <n v="176"/>
    <n v="58.666666666666664"/>
    <n v="0.58666666666666667"/>
    <n v="736"/>
  </r>
  <r>
    <x v="1"/>
    <x v="3"/>
    <s v="some high school"/>
    <s v="standard"/>
    <x v="1"/>
    <n v="68"/>
    <n v="51"/>
    <n v="57"/>
    <n v="176"/>
    <n v="58.666666666666664"/>
    <n v="0.58666666666666667"/>
    <n v="736"/>
  </r>
  <r>
    <x v="1"/>
    <x v="0"/>
    <s v="high school"/>
    <s v="free/reduced"/>
    <x v="0"/>
    <n v="61"/>
    <n v="60"/>
    <n v="55"/>
    <n v="176"/>
    <n v="58.666666666666664"/>
    <n v="0.58666666666666667"/>
    <n v="736"/>
  </r>
  <r>
    <x v="0"/>
    <x v="4"/>
    <s v="some college"/>
    <s v="free/reduced"/>
    <x v="1"/>
    <n v="52"/>
    <n v="59"/>
    <n v="65"/>
    <n v="176"/>
    <n v="58.666666666666664"/>
    <n v="0.58666666666666667"/>
    <n v="736"/>
  </r>
  <r>
    <x v="0"/>
    <x v="0"/>
    <s v="some college"/>
    <s v="free/reduced"/>
    <x v="1"/>
    <n v="42"/>
    <n v="66"/>
    <n v="69"/>
    <n v="177"/>
    <n v="59"/>
    <n v="0.59"/>
    <n v="727"/>
  </r>
  <r>
    <x v="1"/>
    <x v="0"/>
    <s v="some college"/>
    <s v="standard"/>
    <x v="0"/>
    <n v="59"/>
    <n v="60"/>
    <n v="58"/>
    <n v="177"/>
    <n v="59"/>
    <n v="0.59"/>
    <n v="727"/>
  </r>
  <r>
    <x v="1"/>
    <x v="2"/>
    <s v="some high school"/>
    <s v="free/reduced"/>
    <x v="0"/>
    <n v="65"/>
    <n v="59"/>
    <n v="53"/>
    <n v="177"/>
    <n v="59"/>
    <n v="0.59"/>
    <n v="727"/>
  </r>
  <r>
    <x v="1"/>
    <x v="0"/>
    <s v="high school"/>
    <s v="standard"/>
    <x v="0"/>
    <n v="70"/>
    <n v="56"/>
    <n v="51"/>
    <n v="177"/>
    <n v="59"/>
    <n v="0.59"/>
    <n v="727"/>
  </r>
  <r>
    <x v="0"/>
    <x v="1"/>
    <s v="some high school"/>
    <s v="standard"/>
    <x v="1"/>
    <n v="54"/>
    <n v="61"/>
    <n v="62"/>
    <n v="177"/>
    <n v="59"/>
    <n v="0.59"/>
    <n v="727"/>
  </r>
  <r>
    <x v="1"/>
    <x v="0"/>
    <s v="some high school"/>
    <s v="free/reduced"/>
    <x v="1"/>
    <n v="56"/>
    <n v="61"/>
    <n v="60"/>
    <n v="177"/>
    <n v="59"/>
    <n v="0.59"/>
    <n v="727"/>
  </r>
  <r>
    <x v="0"/>
    <x v="4"/>
    <s v="master's degree"/>
    <s v="standard"/>
    <x v="0"/>
    <n v="54"/>
    <n v="60"/>
    <n v="63"/>
    <n v="177"/>
    <n v="59"/>
    <n v="0.59"/>
    <n v="727"/>
  </r>
  <r>
    <x v="1"/>
    <x v="0"/>
    <s v="some college"/>
    <s v="standard"/>
    <x v="0"/>
    <n v="66"/>
    <n v="59"/>
    <n v="52"/>
    <n v="177"/>
    <n v="59"/>
    <n v="0.59"/>
    <n v="727"/>
  </r>
  <r>
    <x v="1"/>
    <x v="2"/>
    <s v="associate's degree"/>
    <s v="standard"/>
    <x v="0"/>
    <n v="67"/>
    <n v="57"/>
    <n v="53"/>
    <n v="177"/>
    <n v="59"/>
    <n v="0.59"/>
    <n v="727"/>
  </r>
  <r>
    <x v="1"/>
    <x v="1"/>
    <s v="some college"/>
    <s v="standard"/>
    <x v="0"/>
    <n v="69"/>
    <n v="54"/>
    <n v="55"/>
    <n v="178"/>
    <n v="59.333333333333336"/>
    <n v="0.59333333333333338"/>
    <n v="721"/>
  </r>
  <r>
    <x v="1"/>
    <x v="2"/>
    <s v="associate's degree"/>
    <s v="free/reduced"/>
    <x v="0"/>
    <n v="62"/>
    <n v="61"/>
    <n v="55"/>
    <n v="178"/>
    <n v="59.333333333333336"/>
    <n v="0.59333333333333338"/>
    <n v="721"/>
  </r>
  <r>
    <x v="1"/>
    <x v="0"/>
    <s v="some college"/>
    <s v="free/reduced"/>
    <x v="0"/>
    <n v="63"/>
    <n v="61"/>
    <n v="54"/>
    <n v="178"/>
    <n v="59.333333333333336"/>
    <n v="0.59333333333333338"/>
    <n v="721"/>
  </r>
  <r>
    <x v="0"/>
    <x v="0"/>
    <s v="master's degree"/>
    <s v="free/reduced"/>
    <x v="0"/>
    <n v="52"/>
    <n v="65"/>
    <n v="61"/>
    <n v="178"/>
    <n v="59.333333333333336"/>
    <n v="0.59333333333333338"/>
    <n v="721"/>
  </r>
  <r>
    <x v="0"/>
    <x v="2"/>
    <s v="some college"/>
    <s v="free/reduced"/>
    <x v="0"/>
    <n v="61"/>
    <n v="60"/>
    <n v="57"/>
    <n v="178"/>
    <n v="59.333333333333336"/>
    <n v="0.59333333333333338"/>
    <n v="721"/>
  </r>
  <r>
    <x v="0"/>
    <x v="2"/>
    <s v="some college"/>
    <s v="standard"/>
    <x v="0"/>
    <n v="56"/>
    <n v="58"/>
    <n v="64"/>
    <n v="178"/>
    <n v="59.333333333333336"/>
    <n v="0.59333333333333338"/>
    <n v="721"/>
  </r>
  <r>
    <x v="0"/>
    <x v="1"/>
    <s v="high school"/>
    <s v="standard"/>
    <x v="0"/>
    <n v="58"/>
    <n v="62"/>
    <n v="59"/>
    <n v="179"/>
    <n v="59.666666666666664"/>
    <n v="0.59666666666666668"/>
    <n v="716"/>
  </r>
  <r>
    <x v="0"/>
    <x v="4"/>
    <s v="high school"/>
    <s v="standard"/>
    <x v="1"/>
    <n v="57"/>
    <n v="58"/>
    <n v="64"/>
    <n v="179"/>
    <n v="59.666666666666664"/>
    <n v="0.59666666666666668"/>
    <n v="716"/>
  </r>
  <r>
    <x v="0"/>
    <x v="4"/>
    <s v="high school"/>
    <s v="standard"/>
    <x v="0"/>
    <n v="51"/>
    <n v="66"/>
    <n v="62"/>
    <n v="179"/>
    <n v="59.666666666666664"/>
    <n v="0.59666666666666668"/>
    <n v="716"/>
  </r>
  <r>
    <x v="0"/>
    <x v="2"/>
    <s v="some high school"/>
    <s v="standard"/>
    <x v="0"/>
    <n v="48"/>
    <n v="66"/>
    <n v="65"/>
    <n v="179"/>
    <n v="59.666666666666664"/>
    <n v="0.59666666666666668"/>
    <n v="716"/>
  </r>
  <r>
    <x v="0"/>
    <x v="0"/>
    <s v="bachelor's degree"/>
    <s v="standard"/>
    <x v="1"/>
    <n v="52"/>
    <n v="61"/>
    <n v="66"/>
    <n v="179"/>
    <n v="59.666666666666664"/>
    <n v="0.59666666666666668"/>
    <n v="716"/>
  </r>
  <r>
    <x v="1"/>
    <x v="1"/>
    <s v="some college"/>
    <s v="free/reduced"/>
    <x v="0"/>
    <n v="60"/>
    <n v="60"/>
    <n v="60"/>
    <n v="180"/>
    <n v="60"/>
    <n v="0.6"/>
    <n v="708"/>
  </r>
  <r>
    <x v="1"/>
    <x v="0"/>
    <s v="some high school"/>
    <s v="standard"/>
    <x v="1"/>
    <n v="63"/>
    <n v="60"/>
    <n v="57"/>
    <n v="180"/>
    <n v="60"/>
    <n v="0.6"/>
    <n v="708"/>
  </r>
  <r>
    <x v="1"/>
    <x v="1"/>
    <s v="some college"/>
    <s v="standard"/>
    <x v="0"/>
    <n v="62"/>
    <n v="61"/>
    <n v="57"/>
    <n v="180"/>
    <n v="60"/>
    <n v="0.6"/>
    <n v="708"/>
  </r>
  <r>
    <x v="1"/>
    <x v="0"/>
    <s v="high school"/>
    <s v="standard"/>
    <x v="1"/>
    <n v="69"/>
    <n v="58"/>
    <n v="53"/>
    <n v="180"/>
    <n v="60"/>
    <n v="0.6"/>
    <n v="708"/>
  </r>
  <r>
    <x v="0"/>
    <x v="1"/>
    <s v="high school"/>
    <s v="free/reduced"/>
    <x v="0"/>
    <n v="50"/>
    <n v="67"/>
    <n v="63"/>
    <n v="180"/>
    <n v="60"/>
    <n v="0.6"/>
    <n v="708"/>
  </r>
  <r>
    <x v="0"/>
    <x v="0"/>
    <s v="some high school"/>
    <s v="standard"/>
    <x v="1"/>
    <n v="59"/>
    <n v="54"/>
    <n v="67"/>
    <n v="180"/>
    <n v="60"/>
    <n v="0.6"/>
    <n v="708"/>
  </r>
  <r>
    <x v="0"/>
    <x v="0"/>
    <s v="high school"/>
    <s v="free/reduced"/>
    <x v="1"/>
    <n v="50"/>
    <n v="66"/>
    <n v="64"/>
    <n v="180"/>
    <n v="60"/>
    <n v="0.6"/>
    <n v="708"/>
  </r>
  <r>
    <x v="0"/>
    <x v="1"/>
    <s v="some college"/>
    <s v="standard"/>
    <x v="1"/>
    <n v="50"/>
    <n v="64"/>
    <n v="66"/>
    <n v="180"/>
    <n v="60"/>
    <n v="0.6"/>
    <n v="708"/>
  </r>
  <r>
    <x v="1"/>
    <x v="4"/>
    <s v="some college"/>
    <s v="standard"/>
    <x v="1"/>
    <n v="63"/>
    <n v="55"/>
    <n v="63"/>
    <n v="181"/>
    <n v="60.333333333333336"/>
    <n v="0.60333333333333339"/>
    <n v="700"/>
  </r>
  <r>
    <x v="1"/>
    <x v="3"/>
    <s v="high school"/>
    <s v="standard"/>
    <x v="0"/>
    <n v="70"/>
    <n v="55"/>
    <n v="56"/>
    <n v="181"/>
    <n v="60.333333333333336"/>
    <n v="0.60333333333333339"/>
    <n v="700"/>
  </r>
  <r>
    <x v="1"/>
    <x v="0"/>
    <s v="high school"/>
    <s v="standard"/>
    <x v="0"/>
    <n v="68"/>
    <n v="60"/>
    <n v="53"/>
    <n v="181"/>
    <n v="60.333333333333336"/>
    <n v="0.60333333333333339"/>
    <n v="700"/>
  </r>
  <r>
    <x v="1"/>
    <x v="3"/>
    <s v="associate's degree"/>
    <s v="standard"/>
    <x v="1"/>
    <n v="62"/>
    <n v="61"/>
    <n v="58"/>
    <n v="181"/>
    <n v="60.333333333333336"/>
    <n v="0.60333333333333339"/>
    <n v="700"/>
  </r>
  <r>
    <x v="1"/>
    <x v="1"/>
    <s v="bachelor's degree"/>
    <s v="free/reduced"/>
    <x v="0"/>
    <n v="62"/>
    <n v="63"/>
    <n v="56"/>
    <n v="181"/>
    <n v="60.333333333333336"/>
    <n v="0.60333333333333339"/>
    <n v="700"/>
  </r>
  <r>
    <x v="0"/>
    <x v="3"/>
    <s v="bachelor's degree"/>
    <s v="free/reduced"/>
    <x v="0"/>
    <n v="61"/>
    <n v="58"/>
    <n v="62"/>
    <n v="181"/>
    <n v="60.333333333333336"/>
    <n v="0.60333333333333339"/>
    <n v="700"/>
  </r>
  <r>
    <x v="1"/>
    <x v="0"/>
    <s v="some high school"/>
    <s v="standard"/>
    <x v="0"/>
    <n v="62"/>
    <n v="64"/>
    <n v="55"/>
    <n v="181"/>
    <n v="60.333333333333336"/>
    <n v="0.60333333333333339"/>
    <n v="700"/>
  </r>
  <r>
    <x v="1"/>
    <x v="4"/>
    <s v="some college"/>
    <s v="free/reduced"/>
    <x v="0"/>
    <n v="62"/>
    <n v="57"/>
    <n v="62"/>
    <n v="181"/>
    <n v="60.333333333333336"/>
    <n v="0.60333333333333339"/>
    <n v="700"/>
  </r>
  <r>
    <x v="0"/>
    <x v="2"/>
    <s v="associate's degree"/>
    <s v="standard"/>
    <x v="1"/>
    <n v="55"/>
    <n v="65"/>
    <n v="62"/>
    <n v="182"/>
    <n v="60.666666666666664"/>
    <n v="0.60666666666666669"/>
    <n v="693"/>
  </r>
  <r>
    <x v="0"/>
    <x v="0"/>
    <s v="some high school"/>
    <s v="free/reduced"/>
    <x v="0"/>
    <n v="55"/>
    <n v="65"/>
    <n v="62"/>
    <n v="182"/>
    <n v="60.666666666666664"/>
    <n v="0.60666666666666669"/>
    <n v="693"/>
  </r>
  <r>
    <x v="1"/>
    <x v="4"/>
    <s v="some college"/>
    <s v="free/reduced"/>
    <x v="0"/>
    <n v="59"/>
    <n v="62"/>
    <n v="61"/>
    <n v="182"/>
    <n v="60.666666666666664"/>
    <n v="0.60666666666666669"/>
    <n v="693"/>
  </r>
  <r>
    <x v="0"/>
    <x v="4"/>
    <s v="master's degree"/>
    <s v="standard"/>
    <x v="0"/>
    <n v="53"/>
    <n v="61"/>
    <n v="68"/>
    <n v="182"/>
    <n v="60.666666666666664"/>
    <n v="0.60666666666666669"/>
    <n v="693"/>
  </r>
  <r>
    <x v="1"/>
    <x v="4"/>
    <s v="some college"/>
    <s v="standard"/>
    <x v="0"/>
    <n v="60"/>
    <n v="63"/>
    <n v="59"/>
    <n v="182"/>
    <n v="60.666666666666664"/>
    <n v="0.60666666666666669"/>
    <n v="693"/>
  </r>
  <r>
    <x v="1"/>
    <x v="2"/>
    <s v="bachelor's degree"/>
    <s v="standard"/>
    <x v="0"/>
    <n v="64"/>
    <n v="60"/>
    <n v="58"/>
    <n v="182"/>
    <n v="60.666666666666664"/>
    <n v="0.60666666666666669"/>
    <n v="693"/>
  </r>
  <r>
    <x v="1"/>
    <x v="1"/>
    <s v="some college"/>
    <s v="free/reduced"/>
    <x v="1"/>
    <n v="60"/>
    <n v="62"/>
    <n v="60"/>
    <n v="182"/>
    <n v="60.666666666666664"/>
    <n v="0.60666666666666669"/>
    <n v="693"/>
  </r>
  <r>
    <x v="1"/>
    <x v="1"/>
    <s v="bachelor's degree"/>
    <s v="standard"/>
    <x v="0"/>
    <n v="66"/>
    <n v="60"/>
    <n v="57"/>
    <n v="183"/>
    <n v="61"/>
    <n v="0.61"/>
    <n v="687"/>
  </r>
  <r>
    <x v="0"/>
    <x v="0"/>
    <s v="some college"/>
    <s v="standard"/>
    <x v="0"/>
    <n v="54"/>
    <n v="64"/>
    <n v="65"/>
    <n v="183"/>
    <n v="61"/>
    <n v="0.61"/>
    <n v="687"/>
  </r>
  <r>
    <x v="1"/>
    <x v="2"/>
    <s v="some high school"/>
    <s v="standard"/>
    <x v="0"/>
    <n v="71"/>
    <n v="62"/>
    <n v="50"/>
    <n v="183"/>
    <n v="61"/>
    <n v="0.61"/>
    <n v="687"/>
  </r>
  <r>
    <x v="0"/>
    <x v="0"/>
    <s v="some college"/>
    <s v="standard"/>
    <x v="0"/>
    <n v="58"/>
    <n v="59"/>
    <n v="66"/>
    <n v="183"/>
    <n v="61"/>
    <n v="0.61"/>
    <n v="687"/>
  </r>
  <r>
    <x v="1"/>
    <x v="0"/>
    <s v="master's degree"/>
    <s v="standard"/>
    <x v="0"/>
    <n v="67"/>
    <n v="57"/>
    <n v="59"/>
    <n v="183"/>
    <n v="61"/>
    <n v="0.61"/>
    <n v="687"/>
  </r>
  <r>
    <x v="1"/>
    <x v="3"/>
    <s v="some college"/>
    <s v="standard"/>
    <x v="0"/>
    <n v="69"/>
    <n v="60"/>
    <n v="54"/>
    <n v="183"/>
    <n v="61"/>
    <n v="0.61"/>
    <n v="687"/>
  </r>
  <r>
    <x v="0"/>
    <x v="1"/>
    <s v="master's degree"/>
    <s v="free/reduced"/>
    <x v="1"/>
    <n v="52"/>
    <n v="70"/>
    <n v="62"/>
    <n v="184"/>
    <n v="61.333333333333336"/>
    <n v="0.61333333333333329"/>
    <n v="678"/>
  </r>
  <r>
    <x v="0"/>
    <x v="4"/>
    <s v="associate's degree"/>
    <s v="free/reduced"/>
    <x v="0"/>
    <n v="56"/>
    <n v="65"/>
    <n v="63"/>
    <n v="184"/>
    <n v="61.333333333333336"/>
    <n v="0.61333333333333329"/>
    <n v="678"/>
  </r>
  <r>
    <x v="1"/>
    <x v="0"/>
    <s v="some college"/>
    <s v="standard"/>
    <x v="0"/>
    <n v="61"/>
    <n v="61"/>
    <n v="62"/>
    <n v="184"/>
    <n v="61.333333333333336"/>
    <n v="0.61333333333333329"/>
    <n v="678"/>
  </r>
  <r>
    <x v="1"/>
    <x v="4"/>
    <s v="bachelor's degree"/>
    <s v="standard"/>
    <x v="0"/>
    <n v="69"/>
    <n v="58"/>
    <n v="57"/>
    <n v="184"/>
    <n v="61.333333333333336"/>
    <n v="0.61333333333333329"/>
    <n v="678"/>
  </r>
  <r>
    <x v="1"/>
    <x v="4"/>
    <s v="some college"/>
    <s v="free/reduced"/>
    <x v="0"/>
    <n v="63"/>
    <n v="61"/>
    <n v="60"/>
    <n v="184"/>
    <n v="61.333333333333336"/>
    <n v="0.61333333333333329"/>
    <n v="678"/>
  </r>
  <r>
    <x v="1"/>
    <x v="4"/>
    <s v="associate's degree"/>
    <s v="standard"/>
    <x v="1"/>
    <n v="67"/>
    <n v="54"/>
    <n v="63"/>
    <n v="184"/>
    <n v="61.333333333333336"/>
    <n v="0.61333333333333329"/>
    <n v="678"/>
  </r>
  <r>
    <x v="0"/>
    <x v="1"/>
    <s v="associate's degree"/>
    <s v="free/reduced"/>
    <x v="0"/>
    <n v="54"/>
    <n v="65"/>
    <n v="65"/>
    <n v="184"/>
    <n v="61.333333333333336"/>
    <n v="0.61333333333333329"/>
    <n v="678"/>
  </r>
  <r>
    <x v="1"/>
    <x v="2"/>
    <s v="some high school"/>
    <s v="free/reduced"/>
    <x v="1"/>
    <n v="61"/>
    <n v="62"/>
    <n v="61"/>
    <n v="184"/>
    <n v="61.333333333333336"/>
    <n v="0.61333333333333329"/>
    <n v="678"/>
  </r>
  <r>
    <x v="0"/>
    <x v="2"/>
    <s v="some college"/>
    <s v="standard"/>
    <x v="0"/>
    <n v="54"/>
    <n v="63"/>
    <n v="67"/>
    <n v="184"/>
    <n v="61.333333333333336"/>
    <n v="0.61333333333333329"/>
    <n v="678"/>
  </r>
  <r>
    <x v="0"/>
    <x v="0"/>
    <s v="some college"/>
    <s v="free/reduced"/>
    <x v="0"/>
    <n v="59"/>
    <n v="62"/>
    <n v="64"/>
    <n v="185"/>
    <n v="61.666666666666664"/>
    <n v="0.6166666666666667"/>
    <n v="671"/>
  </r>
  <r>
    <x v="0"/>
    <x v="1"/>
    <s v="some college"/>
    <s v="free/reduced"/>
    <x v="0"/>
    <n v="58"/>
    <n v="61"/>
    <n v="66"/>
    <n v="185"/>
    <n v="61.666666666666664"/>
    <n v="0.6166666666666667"/>
    <n v="671"/>
  </r>
  <r>
    <x v="1"/>
    <x v="2"/>
    <s v="associate's degree"/>
    <s v="standard"/>
    <x v="0"/>
    <n v="63"/>
    <n v="61"/>
    <n v="61"/>
    <n v="185"/>
    <n v="61.666666666666664"/>
    <n v="0.6166666666666667"/>
    <n v="671"/>
  </r>
  <r>
    <x v="1"/>
    <x v="0"/>
    <s v="some high school"/>
    <s v="free/reduced"/>
    <x v="0"/>
    <n v="68"/>
    <n v="63"/>
    <n v="54"/>
    <n v="185"/>
    <n v="61.666666666666664"/>
    <n v="0.6166666666666667"/>
    <n v="671"/>
  </r>
  <r>
    <x v="0"/>
    <x v="0"/>
    <s v="master's degree"/>
    <s v="standard"/>
    <x v="1"/>
    <n v="54"/>
    <n v="64"/>
    <n v="67"/>
    <n v="185"/>
    <n v="61.666666666666664"/>
    <n v="0.6166666666666667"/>
    <n v="671"/>
  </r>
  <r>
    <x v="1"/>
    <x v="0"/>
    <s v="high school"/>
    <s v="free/reduced"/>
    <x v="0"/>
    <n v="54"/>
    <n v="72"/>
    <n v="59"/>
    <n v="185"/>
    <n v="61.666666666666664"/>
    <n v="0.6166666666666667"/>
    <n v="671"/>
  </r>
  <r>
    <x v="1"/>
    <x v="0"/>
    <s v="associate's degree"/>
    <s v="standard"/>
    <x v="0"/>
    <n v="62"/>
    <n v="65"/>
    <n v="58"/>
    <n v="185"/>
    <n v="61.666666666666664"/>
    <n v="0.6166666666666667"/>
    <n v="671"/>
  </r>
  <r>
    <x v="1"/>
    <x v="1"/>
    <s v="bachelor's degree"/>
    <s v="free/reduced"/>
    <x v="0"/>
    <n v="73"/>
    <n v="56"/>
    <n v="57"/>
    <n v="186"/>
    <n v="62"/>
    <n v="0.62"/>
    <n v="665"/>
  </r>
  <r>
    <x v="0"/>
    <x v="1"/>
    <s v="bachelor's degree"/>
    <s v="standard"/>
    <x v="0"/>
    <n v="52"/>
    <n v="65"/>
    <n v="69"/>
    <n v="186"/>
    <n v="62"/>
    <n v="0.62"/>
    <n v="665"/>
  </r>
  <r>
    <x v="0"/>
    <x v="1"/>
    <s v="high school"/>
    <s v="standard"/>
    <x v="0"/>
    <n v="54"/>
    <n v="64"/>
    <n v="68"/>
    <n v="186"/>
    <n v="62"/>
    <n v="0.62"/>
    <n v="665"/>
  </r>
  <r>
    <x v="0"/>
    <x v="1"/>
    <s v="associate's degree"/>
    <s v="standard"/>
    <x v="0"/>
    <n v="58"/>
    <n v="63"/>
    <n v="65"/>
    <n v="186"/>
    <n v="62"/>
    <n v="0.62"/>
    <n v="665"/>
  </r>
  <r>
    <x v="0"/>
    <x v="1"/>
    <s v="some high school"/>
    <s v="free/reduced"/>
    <x v="1"/>
    <n v="59"/>
    <n v="63"/>
    <n v="64"/>
    <n v="186"/>
    <n v="62"/>
    <n v="0.62"/>
    <n v="665"/>
  </r>
  <r>
    <x v="1"/>
    <x v="0"/>
    <s v="some college"/>
    <s v="standard"/>
    <x v="0"/>
    <n v="63"/>
    <n v="63"/>
    <n v="60"/>
    <n v="186"/>
    <n v="62"/>
    <n v="0.62"/>
    <n v="665"/>
  </r>
  <r>
    <x v="0"/>
    <x v="4"/>
    <s v="some college"/>
    <s v="free/reduced"/>
    <x v="0"/>
    <n v="58"/>
    <n v="67"/>
    <n v="62"/>
    <n v="187"/>
    <n v="62.333333333333336"/>
    <n v="0.62333333333333329"/>
    <n v="657"/>
  </r>
  <r>
    <x v="0"/>
    <x v="4"/>
    <s v="some high school"/>
    <s v="standard"/>
    <x v="0"/>
    <n v="59"/>
    <n v="67"/>
    <n v="61"/>
    <n v="187"/>
    <n v="62.333333333333336"/>
    <n v="0.62333333333333329"/>
    <n v="657"/>
  </r>
  <r>
    <x v="1"/>
    <x v="3"/>
    <s v="some college"/>
    <s v="standard"/>
    <x v="0"/>
    <n v="68"/>
    <n v="60"/>
    <n v="59"/>
    <n v="187"/>
    <n v="62.333333333333336"/>
    <n v="0.62333333333333329"/>
    <n v="657"/>
  </r>
  <r>
    <x v="0"/>
    <x v="3"/>
    <s v="some college"/>
    <s v="standard"/>
    <x v="0"/>
    <n v="61"/>
    <n v="64"/>
    <n v="62"/>
    <n v="187"/>
    <n v="62.333333333333336"/>
    <n v="0.62333333333333329"/>
    <n v="657"/>
  </r>
  <r>
    <x v="0"/>
    <x v="1"/>
    <s v="high school"/>
    <s v="standard"/>
    <x v="0"/>
    <n v="62"/>
    <n v="62"/>
    <n v="63"/>
    <n v="187"/>
    <n v="62.333333333333336"/>
    <n v="0.62333333333333329"/>
    <n v="657"/>
  </r>
  <r>
    <x v="1"/>
    <x v="0"/>
    <s v="high school"/>
    <s v="standard"/>
    <x v="0"/>
    <n v="62"/>
    <n v="67"/>
    <n v="58"/>
    <n v="187"/>
    <n v="62.333333333333336"/>
    <n v="0.62333333333333329"/>
    <n v="657"/>
  </r>
  <r>
    <x v="0"/>
    <x v="1"/>
    <s v="high school"/>
    <s v="standard"/>
    <x v="0"/>
    <n v="58"/>
    <n v="68"/>
    <n v="61"/>
    <n v="187"/>
    <n v="62.333333333333336"/>
    <n v="0.62333333333333329"/>
    <n v="657"/>
  </r>
  <r>
    <x v="1"/>
    <x v="4"/>
    <s v="some college"/>
    <s v="standard"/>
    <x v="0"/>
    <n v="72"/>
    <n v="57"/>
    <n v="58"/>
    <n v="187"/>
    <n v="62.333333333333336"/>
    <n v="0.62333333333333329"/>
    <n v="657"/>
  </r>
  <r>
    <x v="1"/>
    <x v="0"/>
    <s v="bachelor's degree"/>
    <s v="free/reduced"/>
    <x v="0"/>
    <n v="61"/>
    <n v="66"/>
    <n v="61"/>
    <n v="188"/>
    <n v="62.666666666666664"/>
    <n v="0.62666666666666671"/>
    <n v="653"/>
  </r>
  <r>
    <x v="0"/>
    <x v="0"/>
    <s v="some college"/>
    <s v="free/reduced"/>
    <x v="1"/>
    <n v="45"/>
    <n v="73"/>
    <n v="70"/>
    <n v="188"/>
    <n v="62.666666666666664"/>
    <n v="0.62666666666666671"/>
    <n v="653"/>
  </r>
  <r>
    <x v="1"/>
    <x v="1"/>
    <s v="high school"/>
    <s v="standard"/>
    <x v="0"/>
    <n v="60"/>
    <n v="68"/>
    <n v="60"/>
    <n v="188"/>
    <n v="62.666666666666664"/>
    <n v="0.62666666666666671"/>
    <n v="653"/>
  </r>
  <r>
    <x v="1"/>
    <x v="2"/>
    <s v="high school"/>
    <s v="standard"/>
    <x v="0"/>
    <n v="63"/>
    <n v="63"/>
    <n v="62"/>
    <n v="188"/>
    <n v="62.666666666666664"/>
    <n v="0.62666666666666671"/>
    <n v="653"/>
  </r>
  <r>
    <x v="0"/>
    <x v="1"/>
    <s v="some college"/>
    <s v="standard"/>
    <x v="0"/>
    <n v="63"/>
    <n v="65"/>
    <n v="61"/>
    <n v="189"/>
    <n v="63"/>
    <n v="0.63"/>
    <n v="646"/>
  </r>
  <r>
    <x v="0"/>
    <x v="0"/>
    <s v="some college"/>
    <s v="standard"/>
    <x v="0"/>
    <n v="55"/>
    <n v="69"/>
    <n v="65"/>
    <n v="189"/>
    <n v="63"/>
    <n v="0.63"/>
    <n v="646"/>
  </r>
  <r>
    <x v="1"/>
    <x v="1"/>
    <s v="associate's degree"/>
    <s v="free/reduced"/>
    <x v="0"/>
    <n v="67"/>
    <n v="62"/>
    <n v="60"/>
    <n v="189"/>
    <n v="63"/>
    <n v="0.63"/>
    <n v="646"/>
  </r>
  <r>
    <x v="1"/>
    <x v="4"/>
    <s v="some college"/>
    <s v="standard"/>
    <x v="0"/>
    <n v="68"/>
    <n v="59"/>
    <n v="62"/>
    <n v="189"/>
    <n v="63"/>
    <n v="0.63"/>
    <n v="646"/>
  </r>
  <r>
    <x v="1"/>
    <x v="0"/>
    <s v="associate's degree"/>
    <s v="free/reduced"/>
    <x v="0"/>
    <n v="64"/>
    <n v="66"/>
    <n v="59"/>
    <n v="189"/>
    <n v="63"/>
    <n v="0.63"/>
    <n v="646"/>
  </r>
  <r>
    <x v="0"/>
    <x v="4"/>
    <s v="master's degree"/>
    <s v="standard"/>
    <x v="0"/>
    <n v="55"/>
    <n v="64"/>
    <n v="70"/>
    <n v="189"/>
    <n v="63"/>
    <n v="0.63"/>
    <n v="646"/>
  </r>
  <r>
    <x v="0"/>
    <x v="0"/>
    <s v="high school"/>
    <s v="free/reduced"/>
    <x v="0"/>
    <n v="53"/>
    <n v="72"/>
    <n v="64"/>
    <n v="189"/>
    <n v="63"/>
    <n v="0.63"/>
    <n v="646"/>
  </r>
  <r>
    <x v="1"/>
    <x v="1"/>
    <s v="some college"/>
    <s v="free/reduced"/>
    <x v="1"/>
    <n v="59"/>
    <n v="65"/>
    <n v="66"/>
    <n v="190"/>
    <n v="63.333333333333336"/>
    <n v="0.6333333333333333"/>
    <n v="641"/>
  </r>
  <r>
    <x v="1"/>
    <x v="4"/>
    <s v="some high school"/>
    <s v="standard"/>
    <x v="0"/>
    <n v="62"/>
    <n v="67"/>
    <n v="61"/>
    <n v="190"/>
    <n v="63.333333333333336"/>
    <n v="0.6333333333333333"/>
    <n v="641"/>
  </r>
  <r>
    <x v="0"/>
    <x v="4"/>
    <s v="high school"/>
    <s v="standard"/>
    <x v="0"/>
    <n v="62"/>
    <n v="64"/>
    <n v="64"/>
    <n v="190"/>
    <n v="63.333333333333336"/>
    <n v="0.6333333333333333"/>
    <n v="641"/>
  </r>
  <r>
    <x v="0"/>
    <x v="2"/>
    <s v="master's degree"/>
    <s v="free/reduced"/>
    <x v="0"/>
    <n v="50"/>
    <n v="67"/>
    <n v="73"/>
    <n v="190"/>
    <n v="63.333333333333336"/>
    <n v="0.6333333333333333"/>
    <n v="641"/>
  </r>
  <r>
    <x v="0"/>
    <x v="3"/>
    <s v="associate's degree"/>
    <s v="standard"/>
    <x v="0"/>
    <n v="59"/>
    <n v="62"/>
    <n v="69"/>
    <n v="190"/>
    <n v="63.333333333333336"/>
    <n v="0.6333333333333333"/>
    <n v="641"/>
  </r>
  <r>
    <x v="0"/>
    <x v="1"/>
    <s v="associate's degree"/>
    <s v="standard"/>
    <x v="1"/>
    <n v="52"/>
    <n v="66"/>
    <n v="73"/>
    <n v="191"/>
    <n v="63.666666666666664"/>
    <n v="0.63666666666666671"/>
    <n v="632"/>
  </r>
  <r>
    <x v="0"/>
    <x v="1"/>
    <s v="high school"/>
    <s v="standard"/>
    <x v="0"/>
    <n v="65"/>
    <n v="64"/>
    <n v="62"/>
    <n v="191"/>
    <n v="63.666666666666664"/>
    <n v="0.63666666666666671"/>
    <n v="632"/>
  </r>
  <r>
    <x v="0"/>
    <x v="1"/>
    <s v="associate's degree"/>
    <s v="free/reduced"/>
    <x v="0"/>
    <n v="53"/>
    <n v="71"/>
    <n v="67"/>
    <n v="191"/>
    <n v="63.666666666666664"/>
    <n v="0.63666666666666671"/>
    <n v="632"/>
  </r>
  <r>
    <x v="0"/>
    <x v="0"/>
    <s v="some college"/>
    <s v="free/reduced"/>
    <x v="0"/>
    <n v="62"/>
    <n v="67"/>
    <n v="62"/>
    <n v="191"/>
    <n v="63.666666666666664"/>
    <n v="0.63666666666666671"/>
    <n v="632"/>
  </r>
  <r>
    <x v="1"/>
    <x v="0"/>
    <s v="high school"/>
    <s v="free/reduced"/>
    <x v="0"/>
    <n v="66"/>
    <n v="66"/>
    <n v="59"/>
    <n v="191"/>
    <n v="63.666666666666664"/>
    <n v="0.63666666666666671"/>
    <n v="632"/>
  </r>
  <r>
    <x v="0"/>
    <x v="1"/>
    <s v="some high school"/>
    <s v="free/reduced"/>
    <x v="1"/>
    <n v="52"/>
    <n v="67"/>
    <n v="72"/>
    <n v="191"/>
    <n v="63.666666666666664"/>
    <n v="0.63666666666666671"/>
    <n v="632"/>
  </r>
  <r>
    <x v="1"/>
    <x v="1"/>
    <s v="some college"/>
    <s v="standard"/>
    <x v="0"/>
    <n v="66"/>
    <n v="65"/>
    <n v="60"/>
    <n v="191"/>
    <n v="63.666666666666664"/>
    <n v="0.63666666666666671"/>
    <n v="632"/>
  </r>
  <r>
    <x v="1"/>
    <x v="4"/>
    <s v="some college"/>
    <s v="free/reduced"/>
    <x v="0"/>
    <n v="70"/>
    <n v="63"/>
    <n v="58"/>
    <n v="191"/>
    <n v="63.666666666666664"/>
    <n v="0.63666666666666671"/>
    <n v="632"/>
  </r>
  <r>
    <x v="1"/>
    <x v="3"/>
    <s v="associate's degree"/>
    <s v="standard"/>
    <x v="0"/>
    <n v="72"/>
    <n v="57"/>
    <n v="62"/>
    <n v="191"/>
    <n v="63.666666666666664"/>
    <n v="0.63666666666666671"/>
    <n v="632"/>
  </r>
  <r>
    <x v="1"/>
    <x v="1"/>
    <s v="some high school"/>
    <s v="standard"/>
    <x v="0"/>
    <n v="67"/>
    <n v="64"/>
    <n v="61"/>
    <n v="192"/>
    <n v="64"/>
    <n v="0.64"/>
    <n v="623"/>
  </r>
  <r>
    <x v="0"/>
    <x v="0"/>
    <s v="associate's degree"/>
    <s v="standard"/>
    <x v="0"/>
    <n v="59"/>
    <n v="66"/>
    <n v="67"/>
    <n v="192"/>
    <n v="64"/>
    <n v="0.64"/>
    <n v="623"/>
  </r>
  <r>
    <x v="1"/>
    <x v="4"/>
    <s v="associate's degree"/>
    <s v="free/reduced"/>
    <x v="0"/>
    <n v="66"/>
    <n v="62"/>
    <n v="64"/>
    <n v="192"/>
    <n v="64"/>
    <n v="0.64"/>
    <n v="623"/>
  </r>
  <r>
    <x v="0"/>
    <x v="1"/>
    <s v="some high school"/>
    <s v="standard"/>
    <x v="0"/>
    <n v="62"/>
    <n v="64"/>
    <n v="66"/>
    <n v="192"/>
    <n v="64"/>
    <n v="0.64"/>
    <n v="623"/>
  </r>
  <r>
    <x v="1"/>
    <x v="0"/>
    <s v="high school"/>
    <s v="standard"/>
    <x v="0"/>
    <n v="71"/>
    <n v="60"/>
    <n v="61"/>
    <n v="192"/>
    <n v="64"/>
    <n v="0.64"/>
    <n v="623"/>
  </r>
  <r>
    <x v="1"/>
    <x v="2"/>
    <s v="bachelor's degree"/>
    <s v="standard"/>
    <x v="0"/>
    <n v="66"/>
    <n v="64"/>
    <n v="62"/>
    <n v="192"/>
    <n v="64"/>
    <n v="0.64"/>
    <n v="623"/>
  </r>
  <r>
    <x v="1"/>
    <x v="4"/>
    <s v="some college"/>
    <s v="free/reduced"/>
    <x v="1"/>
    <n v="69"/>
    <n v="60"/>
    <n v="63"/>
    <n v="192"/>
    <n v="64"/>
    <n v="0.64"/>
    <n v="623"/>
  </r>
  <r>
    <x v="0"/>
    <x v="1"/>
    <s v="some college"/>
    <s v="free/reduced"/>
    <x v="1"/>
    <n v="53"/>
    <n v="66"/>
    <n v="73"/>
    <n v="192"/>
    <n v="64"/>
    <n v="0.64"/>
    <n v="623"/>
  </r>
  <r>
    <x v="0"/>
    <x v="2"/>
    <s v="high school"/>
    <s v="standard"/>
    <x v="0"/>
    <n v="61"/>
    <n v="68"/>
    <n v="63"/>
    <n v="192"/>
    <n v="64"/>
    <n v="0.64"/>
    <n v="623"/>
  </r>
  <r>
    <x v="0"/>
    <x v="3"/>
    <s v="master's degree"/>
    <s v="free/reduced"/>
    <x v="0"/>
    <n v="56"/>
    <n v="72"/>
    <n v="65"/>
    <n v="193"/>
    <n v="64.333333333333329"/>
    <n v="0.64333333333333331"/>
    <n v="613"/>
  </r>
  <r>
    <x v="1"/>
    <x v="1"/>
    <s v="some high school"/>
    <s v="standard"/>
    <x v="1"/>
    <n v="65"/>
    <n v="66"/>
    <n v="62"/>
    <n v="193"/>
    <n v="64.333333333333329"/>
    <n v="0.64333333333333331"/>
    <n v="613"/>
  </r>
  <r>
    <x v="1"/>
    <x v="3"/>
    <s v="associate's degree"/>
    <s v="standard"/>
    <x v="1"/>
    <n v="66"/>
    <n v="63"/>
    <n v="64"/>
    <n v="193"/>
    <n v="64.333333333333329"/>
    <n v="0.64333333333333331"/>
    <n v="613"/>
  </r>
  <r>
    <x v="1"/>
    <x v="0"/>
    <s v="some high school"/>
    <s v="free/reduced"/>
    <x v="1"/>
    <n v="59"/>
    <n v="69"/>
    <n v="65"/>
    <n v="193"/>
    <n v="64.333333333333329"/>
    <n v="0.64333333333333331"/>
    <n v="613"/>
  </r>
  <r>
    <x v="1"/>
    <x v="0"/>
    <s v="bachelor's degree"/>
    <s v="standard"/>
    <x v="0"/>
    <n v="69"/>
    <n v="63"/>
    <n v="61"/>
    <n v="193"/>
    <n v="64.333333333333329"/>
    <n v="0.64333333333333331"/>
    <n v="613"/>
  </r>
  <r>
    <x v="1"/>
    <x v="1"/>
    <s v="associate's degree"/>
    <s v="standard"/>
    <x v="1"/>
    <n v="65"/>
    <n v="65"/>
    <n v="63"/>
    <n v="193"/>
    <n v="64.333333333333329"/>
    <n v="0.64333333333333331"/>
    <n v="613"/>
  </r>
  <r>
    <x v="0"/>
    <x v="4"/>
    <s v="master's degree"/>
    <s v="standard"/>
    <x v="0"/>
    <n v="64"/>
    <n v="63"/>
    <n v="66"/>
    <n v="193"/>
    <n v="64.333333333333329"/>
    <n v="0.64333333333333331"/>
    <n v="613"/>
  </r>
  <r>
    <x v="0"/>
    <x v="0"/>
    <s v="high school"/>
    <s v="free/reduced"/>
    <x v="0"/>
    <n v="62"/>
    <n v="67"/>
    <n v="64"/>
    <n v="193"/>
    <n v="64.333333333333329"/>
    <n v="0.64333333333333331"/>
    <n v="613"/>
  </r>
  <r>
    <x v="0"/>
    <x v="1"/>
    <s v="associate's degree"/>
    <s v="free/reduced"/>
    <x v="0"/>
    <n v="53"/>
    <n v="70"/>
    <n v="70"/>
    <n v="193"/>
    <n v="64.333333333333329"/>
    <n v="0.64333333333333331"/>
    <n v="613"/>
  </r>
  <r>
    <x v="1"/>
    <x v="0"/>
    <s v="bachelor's degree"/>
    <s v="standard"/>
    <x v="1"/>
    <n v="63"/>
    <n v="64"/>
    <n v="66"/>
    <n v="193"/>
    <n v="64.333333333333329"/>
    <n v="0.64333333333333331"/>
    <n v="613"/>
  </r>
  <r>
    <x v="0"/>
    <x v="4"/>
    <s v="some college"/>
    <s v="free/reduced"/>
    <x v="1"/>
    <n v="58"/>
    <n v="63"/>
    <n v="73"/>
    <n v="194"/>
    <n v="64.666666666666671"/>
    <n v="0.64666666666666661"/>
    <n v="602"/>
  </r>
  <r>
    <x v="0"/>
    <x v="4"/>
    <s v="bachelor's degree"/>
    <s v="standard"/>
    <x v="0"/>
    <n v="65"/>
    <n v="67"/>
    <n v="62"/>
    <n v="194"/>
    <n v="64.666666666666671"/>
    <n v="0.64666666666666661"/>
    <n v="602"/>
  </r>
  <r>
    <x v="0"/>
    <x v="1"/>
    <s v="associate's degree"/>
    <s v="standard"/>
    <x v="0"/>
    <n v="57"/>
    <n v="69"/>
    <n v="68"/>
    <n v="194"/>
    <n v="64.666666666666671"/>
    <n v="0.64666666666666661"/>
    <n v="602"/>
  </r>
  <r>
    <x v="1"/>
    <x v="1"/>
    <s v="some high school"/>
    <s v="standard"/>
    <x v="0"/>
    <n v="74"/>
    <n v="63"/>
    <n v="57"/>
    <n v="194"/>
    <n v="64.666666666666671"/>
    <n v="0.64666666666666661"/>
    <n v="602"/>
  </r>
  <r>
    <x v="1"/>
    <x v="0"/>
    <s v="master's degree"/>
    <s v="free/reduced"/>
    <x v="0"/>
    <n v="61"/>
    <n v="67"/>
    <n v="66"/>
    <n v="194"/>
    <n v="64.666666666666671"/>
    <n v="0.64666666666666661"/>
    <n v="602"/>
  </r>
  <r>
    <x v="0"/>
    <x v="4"/>
    <s v="associate's degree"/>
    <s v="standard"/>
    <x v="0"/>
    <n v="59"/>
    <n v="70"/>
    <n v="65"/>
    <n v="194"/>
    <n v="64.666666666666671"/>
    <n v="0.64666666666666661"/>
    <n v="602"/>
  </r>
  <r>
    <x v="0"/>
    <x v="3"/>
    <s v="high school"/>
    <s v="free/reduced"/>
    <x v="0"/>
    <n v="64"/>
    <n v="62"/>
    <n v="68"/>
    <n v="194"/>
    <n v="64.666666666666671"/>
    <n v="0.64666666666666661"/>
    <n v="602"/>
  </r>
  <r>
    <x v="0"/>
    <x v="4"/>
    <s v="some college"/>
    <s v="standard"/>
    <x v="0"/>
    <n v="63"/>
    <n v="64"/>
    <n v="67"/>
    <n v="194"/>
    <n v="64.666666666666671"/>
    <n v="0.64666666666666661"/>
    <n v="602"/>
  </r>
  <r>
    <x v="1"/>
    <x v="0"/>
    <s v="associate's degree"/>
    <s v="free/reduced"/>
    <x v="0"/>
    <n v="68"/>
    <n v="65"/>
    <n v="61"/>
    <n v="194"/>
    <n v="64.666666666666671"/>
    <n v="0.64666666666666661"/>
    <n v="602"/>
  </r>
  <r>
    <x v="0"/>
    <x v="0"/>
    <s v="associate's degree"/>
    <s v="free/reduced"/>
    <x v="1"/>
    <n v="56"/>
    <n v="68"/>
    <n v="70"/>
    <n v="194"/>
    <n v="64.666666666666671"/>
    <n v="0.64666666666666661"/>
    <n v="602"/>
  </r>
  <r>
    <x v="1"/>
    <x v="3"/>
    <s v="high school"/>
    <s v="standard"/>
    <x v="0"/>
    <n v="73"/>
    <n v="64"/>
    <n v="57"/>
    <n v="194"/>
    <n v="64.666666666666671"/>
    <n v="0.64666666666666661"/>
    <n v="602"/>
  </r>
  <r>
    <x v="1"/>
    <x v="4"/>
    <s v="high school"/>
    <s v="free/reduced"/>
    <x v="1"/>
    <n v="64"/>
    <n v="64"/>
    <n v="67"/>
    <n v="195"/>
    <n v="65"/>
    <n v="0.65"/>
    <n v="593"/>
  </r>
  <r>
    <x v="0"/>
    <x v="2"/>
    <s v="some college"/>
    <s v="standard"/>
    <x v="0"/>
    <n v="58"/>
    <n v="70"/>
    <n v="67"/>
    <n v="195"/>
    <n v="65"/>
    <n v="0.65"/>
    <n v="593"/>
  </r>
  <r>
    <x v="0"/>
    <x v="1"/>
    <s v="associate's degree"/>
    <s v="standard"/>
    <x v="1"/>
    <n v="59"/>
    <n v="70"/>
    <n v="66"/>
    <n v="195"/>
    <n v="65"/>
    <n v="0.65"/>
    <n v="593"/>
  </r>
  <r>
    <x v="0"/>
    <x v="1"/>
    <s v="some college"/>
    <s v="free/reduced"/>
    <x v="0"/>
    <n v="61"/>
    <n v="68"/>
    <n v="66"/>
    <n v="195"/>
    <n v="65"/>
    <n v="0.65"/>
    <n v="593"/>
  </r>
  <r>
    <x v="1"/>
    <x v="4"/>
    <s v="some college"/>
    <s v="free/reduced"/>
    <x v="0"/>
    <n v="69"/>
    <n v="66"/>
    <n v="60"/>
    <n v="195"/>
    <n v="65"/>
    <n v="0.65"/>
    <n v="593"/>
  </r>
  <r>
    <x v="1"/>
    <x v="2"/>
    <s v="bachelor's degree"/>
    <s v="standard"/>
    <x v="1"/>
    <n v="75"/>
    <n v="58"/>
    <n v="62"/>
    <n v="195"/>
    <n v="65"/>
    <n v="0.65"/>
    <n v="593"/>
  </r>
  <r>
    <x v="1"/>
    <x v="1"/>
    <s v="high school"/>
    <s v="standard"/>
    <x v="0"/>
    <n v="70"/>
    <n v="65"/>
    <n v="60"/>
    <n v="195"/>
    <n v="65"/>
    <n v="0.65"/>
    <n v="593"/>
  </r>
  <r>
    <x v="0"/>
    <x v="4"/>
    <s v="some college"/>
    <s v="free/reduced"/>
    <x v="0"/>
    <n v="55"/>
    <n v="71"/>
    <n v="69"/>
    <n v="195"/>
    <n v="65"/>
    <n v="0.65"/>
    <n v="593"/>
  </r>
  <r>
    <x v="0"/>
    <x v="0"/>
    <s v="high school"/>
    <s v="free/reduced"/>
    <x v="1"/>
    <n v="59"/>
    <n v="71"/>
    <n v="65"/>
    <n v="195"/>
    <n v="65"/>
    <n v="0.65"/>
    <n v="593"/>
  </r>
  <r>
    <x v="1"/>
    <x v="4"/>
    <s v="some high school"/>
    <s v="standard"/>
    <x v="1"/>
    <n v="62"/>
    <n v="66"/>
    <n v="68"/>
    <n v="196"/>
    <n v="65.333333333333329"/>
    <n v="0.65333333333333332"/>
    <n v="584"/>
  </r>
  <r>
    <x v="1"/>
    <x v="4"/>
    <s v="bachelor's degree"/>
    <s v="free/reduced"/>
    <x v="0"/>
    <n v="63"/>
    <n v="66"/>
    <n v="67"/>
    <n v="196"/>
    <n v="65.333333333333329"/>
    <n v="0.65333333333333332"/>
    <n v="584"/>
  </r>
  <r>
    <x v="0"/>
    <x v="1"/>
    <s v="high school"/>
    <s v="standard"/>
    <x v="1"/>
    <n v="58"/>
    <n v="70"/>
    <n v="68"/>
    <n v="196"/>
    <n v="65.333333333333329"/>
    <n v="0.65333333333333332"/>
    <n v="584"/>
  </r>
  <r>
    <x v="1"/>
    <x v="4"/>
    <s v="bachelor's degree"/>
    <s v="standard"/>
    <x v="1"/>
    <n v="67"/>
    <n v="61"/>
    <n v="68"/>
    <n v="196"/>
    <n v="65.333333333333329"/>
    <n v="0.65333333333333332"/>
    <n v="584"/>
  </r>
  <r>
    <x v="0"/>
    <x v="1"/>
    <s v="some college"/>
    <s v="standard"/>
    <x v="0"/>
    <n v="62"/>
    <n v="67"/>
    <n v="67"/>
    <n v="196"/>
    <n v="65.333333333333329"/>
    <n v="0.65333333333333332"/>
    <n v="584"/>
  </r>
  <r>
    <x v="1"/>
    <x v="4"/>
    <s v="some high school"/>
    <s v="standard"/>
    <x v="0"/>
    <n v="69"/>
    <n v="66"/>
    <n v="61"/>
    <n v="196"/>
    <n v="65.333333333333329"/>
    <n v="0.65333333333333332"/>
    <n v="584"/>
  </r>
  <r>
    <x v="1"/>
    <x v="1"/>
    <s v="some college"/>
    <s v="standard"/>
    <x v="1"/>
    <n v="62"/>
    <n v="66"/>
    <n v="68"/>
    <n v="196"/>
    <n v="65.333333333333329"/>
    <n v="0.65333333333333332"/>
    <n v="584"/>
  </r>
  <r>
    <x v="0"/>
    <x v="1"/>
    <s v="some high school"/>
    <s v="standard"/>
    <x v="0"/>
    <n v="57"/>
    <n v="67"/>
    <n v="72"/>
    <n v="196"/>
    <n v="65.333333333333329"/>
    <n v="0.65333333333333332"/>
    <n v="584"/>
  </r>
  <r>
    <x v="0"/>
    <x v="4"/>
    <s v="some college"/>
    <s v="free/reduced"/>
    <x v="0"/>
    <n v="60"/>
    <n v="66"/>
    <n v="70"/>
    <n v="196"/>
    <n v="65.333333333333329"/>
    <n v="0.65333333333333332"/>
    <n v="584"/>
  </r>
  <r>
    <x v="0"/>
    <x v="0"/>
    <s v="some college"/>
    <s v="standard"/>
    <x v="0"/>
    <n v="58"/>
    <n v="67"/>
    <n v="72"/>
    <n v="197"/>
    <n v="65.666666666666671"/>
    <n v="0.65666666666666662"/>
    <n v="576"/>
  </r>
  <r>
    <x v="1"/>
    <x v="0"/>
    <s v="associate's degree"/>
    <s v="free/reduced"/>
    <x v="1"/>
    <n v="65"/>
    <n v="67"/>
    <n v="65"/>
    <n v="197"/>
    <n v="65.666666666666671"/>
    <n v="0.65666666666666662"/>
    <n v="576"/>
  </r>
  <r>
    <x v="0"/>
    <x v="3"/>
    <s v="high school"/>
    <s v="standard"/>
    <x v="1"/>
    <n v="59"/>
    <n v="63"/>
    <n v="75"/>
    <n v="197"/>
    <n v="65.666666666666671"/>
    <n v="0.65666666666666662"/>
    <n v="576"/>
  </r>
  <r>
    <x v="0"/>
    <x v="0"/>
    <s v="high school"/>
    <s v="standard"/>
    <x v="0"/>
    <n v="61"/>
    <n v="73"/>
    <n v="63"/>
    <n v="197"/>
    <n v="65.666666666666671"/>
    <n v="0.65666666666666662"/>
    <n v="576"/>
  </r>
  <r>
    <x v="1"/>
    <x v="4"/>
    <s v="associate's degree"/>
    <s v="standard"/>
    <x v="0"/>
    <n v="71"/>
    <n v="66"/>
    <n v="60"/>
    <n v="197"/>
    <n v="65.666666666666671"/>
    <n v="0.65666666666666662"/>
    <n v="576"/>
  </r>
  <r>
    <x v="1"/>
    <x v="1"/>
    <s v="some high school"/>
    <s v="standard"/>
    <x v="1"/>
    <n v="63"/>
    <n v="67"/>
    <n v="67"/>
    <n v="197"/>
    <n v="65.666666666666671"/>
    <n v="0.65666666666666662"/>
    <n v="576"/>
  </r>
  <r>
    <x v="1"/>
    <x v="0"/>
    <s v="some college"/>
    <s v="free/reduced"/>
    <x v="0"/>
    <n v="68"/>
    <n v="68"/>
    <n v="61"/>
    <n v="197"/>
    <n v="65.666666666666671"/>
    <n v="0.65666666666666662"/>
    <n v="576"/>
  </r>
  <r>
    <x v="0"/>
    <x v="4"/>
    <s v="high school"/>
    <s v="free/reduced"/>
    <x v="1"/>
    <n v="65"/>
    <n v="61"/>
    <n v="71"/>
    <n v="197"/>
    <n v="65.666666666666671"/>
    <n v="0.65666666666666662"/>
    <n v="576"/>
  </r>
  <r>
    <x v="1"/>
    <x v="4"/>
    <s v="high school"/>
    <s v="standard"/>
    <x v="0"/>
    <n v="66"/>
    <n v="69"/>
    <n v="63"/>
    <n v="198"/>
    <n v="66"/>
    <n v="0.66"/>
    <n v="562"/>
  </r>
  <r>
    <x v="0"/>
    <x v="3"/>
    <s v="master's degree"/>
    <s v="standard"/>
    <x v="0"/>
    <n v="62"/>
    <n v="68"/>
    <n v="68"/>
    <n v="198"/>
    <n v="66"/>
    <n v="0.66"/>
    <n v="562"/>
  </r>
  <r>
    <x v="0"/>
    <x v="1"/>
    <s v="associate's degree"/>
    <s v="free/reduced"/>
    <x v="0"/>
    <n v="52"/>
    <n v="76"/>
    <n v="70"/>
    <n v="198"/>
    <n v="66"/>
    <n v="0.66"/>
    <n v="562"/>
  </r>
  <r>
    <x v="1"/>
    <x v="2"/>
    <s v="some high school"/>
    <s v="standard"/>
    <x v="1"/>
    <n v="62"/>
    <n v="67"/>
    <n v="69"/>
    <n v="198"/>
    <n v="66"/>
    <n v="0.66"/>
    <n v="562"/>
  </r>
  <r>
    <x v="0"/>
    <x v="4"/>
    <s v="high school"/>
    <s v="standard"/>
    <x v="1"/>
    <n v="56"/>
    <n v="68"/>
    <n v="74"/>
    <n v="198"/>
    <n v="66"/>
    <n v="0.66"/>
    <n v="562"/>
  </r>
  <r>
    <x v="0"/>
    <x v="4"/>
    <s v="some high school"/>
    <s v="standard"/>
    <x v="1"/>
    <n v="64"/>
    <n v="60"/>
    <n v="74"/>
    <n v="198"/>
    <n v="66"/>
    <n v="0.66"/>
    <n v="562"/>
  </r>
  <r>
    <x v="0"/>
    <x v="0"/>
    <s v="bachelor's degree"/>
    <s v="standard"/>
    <x v="1"/>
    <n v="59"/>
    <n v="64"/>
    <n v="75"/>
    <n v="198"/>
    <n v="66"/>
    <n v="0.66"/>
    <n v="562"/>
  </r>
  <r>
    <x v="0"/>
    <x v="0"/>
    <s v="associate's degree"/>
    <s v="standard"/>
    <x v="0"/>
    <n v="64"/>
    <n v="64"/>
    <n v="70"/>
    <n v="198"/>
    <n v="66"/>
    <n v="0.66"/>
    <n v="562"/>
  </r>
  <r>
    <x v="1"/>
    <x v="4"/>
    <s v="high school"/>
    <s v="standard"/>
    <x v="1"/>
    <n v="68"/>
    <n v="64"/>
    <n v="66"/>
    <n v="198"/>
    <n v="66"/>
    <n v="0.66"/>
    <n v="562"/>
  </r>
  <r>
    <x v="1"/>
    <x v="1"/>
    <s v="high school"/>
    <s v="standard"/>
    <x v="1"/>
    <n v="76"/>
    <n v="62"/>
    <n v="60"/>
    <n v="198"/>
    <n v="66"/>
    <n v="0.66"/>
    <n v="562"/>
  </r>
  <r>
    <x v="0"/>
    <x v="3"/>
    <s v="associate's degree"/>
    <s v="free/reduced"/>
    <x v="1"/>
    <n v="57"/>
    <n v="68"/>
    <n v="73"/>
    <n v="198"/>
    <n v="66"/>
    <n v="0.66"/>
    <n v="562"/>
  </r>
  <r>
    <x v="0"/>
    <x v="0"/>
    <s v="high school"/>
    <s v="standard"/>
    <x v="1"/>
    <n v="60"/>
    <n v="64"/>
    <n v="74"/>
    <n v="198"/>
    <n v="66"/>
    <n v="0.66"/>
    <n v="562"/>
  </r>
  <r>
    <x v="1"/>
    <x v="3"/>
    <s v="some high school"/>
    <s v="standard"/>
    <x v="1"/>
    <n v="74"/>
    <n v="64"/>
    <n v="60"/>
    <n v="198"/>
    <n v="66"/>
    <n v="0.66"/>
    <n v="562"/>
  </r>
  <r>
    <x v="1"/>
    <x v="2"/>
    <s v="some high school"/>
    <s v="standard"/>
    <x v="1"/>
    <n v="66"/>
    <n v="68"/>
    <n v="64"/>
    <n v="198"/>
    <n v="66"/>
    <n v="0.66"/>
    <n v="562"/>
  </r>
  <r>
    <x v="0"/>
    <x v="0"/>
    <s v="associate's degree"/>
    <s v="standard"/>
    <x v="0"/>
    <n v="58"/>
    <n v="73"/>
    <n v="68"/>
    <n v="199"/>
    <n v="66.333333333333329"/>
    <n v="0.66333333333333333"/>
    <n v="557"/>
  </r>
  <r>
    <x v="1"/>
    <x v="3"/>
    <s v="associate's degree"/>
    <s v="standard"/>
    <x v="0"/>
    <n v="72"/>
    <n v="64"/>
    <n v="63"/>
    <n v="199"/>
    <n v="66.333333333333329"/>
    <n v="0.66333333333333333"/>
    <n v="557"/>
  </r>
  <r>
    <x v="1"/>
    <x v="3"/>
    <s v="some high school"/>
    <s v="free/reduced"/>
    <x v="1"/>
    <n v="73"/>
    <n v="67"/>
    <n v="59"/>
    <n v="199"/>
    <n v="66.333333333333329"/>
    <n v="0.66333333333333333"/>
    <n v="557"/>
  </r>
  <r>
    <x v="1"/>
    <x v="2"/>
    <s v="bachelor's degree"/>
    <s v="free/reduced"/>
    <x v="0"/>
    <n v="62"/>
    <n v="72"/>
    <n v="65"/>
    <n v="199"/>
    <n v="66.333333333333329"/>
    <n v="0.66333333333333333"/>
    <n v="557"/>
  </r>
  <r>
    <x v="0"/>
    <x v="0"/>
    <s v="high school"/>
    <s v="standard"/>
    <x v="0"/>
    <n v="59"/>
    <n v="72"/>
    <n v="68"/>
    <n v="199"/>
    <n v="66.333333333333329"/>
    <n v="0.66333333333333333"/>
    <n v="557"/>
  </r>
  <r>
    <x v="0"/>
    <x v="0"/>
    <s v="associate's degree"/>
    <s v="standard"/>
    <x v="0"/>
    <n v="63"/>
    <n v="67"/>
    <n v="70"/>
    <n v="200"/>
    <n v="66.666666666666671"/>
    <n v="0.66666666666666663"/>
    <n v="549"/>
  </r>
  <r>
    <x v="0"/>
    <x v="3"/>
    <s v="associate's degree"/>
    <s v="standard"/>
    <x v="0"/>
    <n v="66"/>
    <n v="65"/>
    <n v="69"/>
    <n v="200"/>
    <n v="66.666666666666671"/>
    <n v="0.66666666666666663"/>
    <n v="549"/>
  </r>
  <r>
    <x v="0"/>
    <x v="1"/>
    <s v="some high school"/>
    <s v="standard"/>
    <x v="1"/>
    <n v="60"/>
    <n v="70"/>
    <n v="70"/>
    <n v="200"/>
    <n v="66.666666666666671"/>
    <n v="0.66666666666666663"/>
    <n v="549"/>
  </r>
  <r>
    <x v="0"/>
    <x v="0"/>
    <s v="some college"/>
    <s v="standard"/>
    <x v="0"/>
    <n v="59"/>
    <n v="71"/>
    <n v="70"/>
    <n v="200"/>
    <n v="66.666666666666671"/>
    <n v="0.66666666666666663"/>
    <n v="549"/>
  </r>
  <r>
    <x v="1"/>
    <x v="3"/>
    <s v="bachelor's degree"/>
    <s v="standard"/>
    <x v="0"/>
    <n v="68"/>
    <n v="68"/>
    <n v="64"/>
    <n v="200"/>
    <n v="66.666666666666671"/>
    <n v="0.66666666666666663"/>
    <n v="549"/>
  </r>
  <r>
    <x v="0"/>
    <x v="0"/>
    <s v="high school"/>
    <s v="standard"/>
    <x v="0"/>
    <n v="60"/>
    <n v="68"/>
    <n v="72"/>
    <n v="200"/>
    <n v="66.666666666666671"/>
    <n v="0.66666666666666663"/>
    <n v="549"/>
  </r>
  <r>
    <x v="0"/>
    <x v="1"/>
    <s v="high school"/>
    <s v="free/reduced"/>
    <x v="0"/>
    <n v="60"/>
    <n v="72"/>
    <n v="68"/>
    <n v="200"/>
    <n v="66.666666666666671"/>
    <n v="0.66666666666666663"/>
    <n v="549"/>
  </r>
  <r>
    <x v="0"/>
    <x v="0"/>
    <s v="some college"/>
    <s v="standard"/>
    <x v="0"/>
    <n v="62"/>
    <n v="69"/>
    <n v="69"/>
    <n v="200"/>
    <n v="66.666666666666671"/>
    <n v="0.66666666666666663"/>
    <n v="549"/>
  </r>
  <r>
    <x v="1"/>
    <x v="4"/>
    <s v="some college"/>
    <s v="standard"/>
    <x v="1"/>
    <n v="71"/>
    <n v="61"/>
    <n v="69"/>
    <n v="201"/>
    <n v="67"/>
    <n v="0.67"/>
    <n v="540"/>
  </r>
  <r>
    <x v="1"/>
    <x v="4"/>
    <s v="some college"/>
    <s v="standard"/>
    <x v="1"/>
    <n v="77"/>
    <n v="62"/>
    <n v="62"/>
    <n v="201"/>
    <n v="67"/>
    <n v="0.67"/>
    <n v="540"/>
  </r>
  <r>
    <x v="0"/>
    <x v="2"/>
    <s v="some high school"/>
    <s v="free/reduced"/>
    <x v="0"/>
    <n v="59"/>
    <n v="73"/>
    <n v="69"/>
    <n v="201"/>
    <n v="67"/>
    <n v="0.67"/>
    <n v="540"/>
  </r>
  <r>
    <x v="1"/>
    <x v="4"/>
    <s v="some high school"/>
    <s v="standard"/>
    <x v="0"/>
    <n v="73"/>
    <n v="66"/>
    <n v="62"/>
    <n v="201"/>
    <n v="67"/>
    <n v="0.67"/>
    <n v="540"/>
  </r>
  <r>
    <x v="0"/>
    <x v="2"/>
    <s v="high school"/>
    <s v="standard"/>
    <x v="0"/>
    <n v="55"/>
    <n v="73"/>
    <n v="73"/>
    <n v="201"/>
    <n v="67"/>
    <n v="0.67"/>
    <n v="540"/>
  </r>
  <r>
    <x v="1"/>
    <x v="4"/>
    <s v="some college"/>
    <s v="standard"/>
    <x v="0"/>
    <n v="67"/>
    <n v="64"/>
    <n v="70"/>
    <n v="201"/>
    <n v="67"/>
    <n v="0.67"/>
    <n v="540"/>
  </r>
  <r>
    <x v="0"/>
    <x v="0"/>
    <s v="high school"/>
    <s v="standard"/>
    <x v="0"/>
    <n v="65"/>
    <n v="69"/>
    <n v="67"/>
    <n v="201"/>
    <n v="67"/>
    <n v="0.67"/>
    <n v="540"/>
  </r>
  <r>
    <x v="0"/>
    <x v="2"/>
    <s v="bachelor's degree"/>
    <s v="standard"/>
    <x v="0"/>
    <n v="59"/>
    <n v="72"/>
    <n v="70"/>
    <n v="201"/>
    <n v="67"/>
    <n v="0.67"/>
    <n v="540"/>
  </r>
  <r>
    <x v="1"/>
    <x v="0"/>
    <s v="some college"/>
    <s v="standard"/>
    <x v="0"/>
    <n v="69"/>
    <n v="64"/>
    <n v="68"/>
    <n v="201"/>
    <n v="67"/>
    <n v="0.67"/>
    <n v="540"/>
  </r>
  <r>
    <x v="1"/>
    <x v="0"/>
    <s v="high school"/>
    <s v="standard"/>
    <x v="0"/>
    <n v="71"/>
    <n v="66"/>
    <n v="65"/>
    <n v="202"/>
    <n v="67.333333333333329"/>
    <n v="0.67333333333333334"/>
    <n v="534"/>
  </r>
  <r>
    <x v="0"/>
    <x v="4"/>
    <s v="bachelor's degree"/>
    <s v="standard"/>
    <x v="0"/>
    <n v="59"/>
    <n v="70"/>
    <n v="73"/>
    <n v="202"/>
    <n v="67.333333333333329"/>
    <n v="0.67333333333333334"/>
    <n v="534"/>
  </r>
  <r>
    <x v="0"/>
    <x v="0"/>
    <s v="associate's degree"/>
    <s v="free/reduced"/>
    <x v="0"/>
    <n v="57"/>
    <n v="78"/>
    <n v="67"/>
    <n v="202"/>
    <n v="67.333333333333329"/>
    <n v="0.67333333333333334"/>
    <n v="534"/>
  </r>
  <r>
    <x v="0"/>
    <x v="0"/>
    <s v="bachelor's degree"/>
    <s v="free/reduced"/>
    <x v="1"/>
    <n v="51"/>
    <n v="72"/>
    <n v="79"/>
    <n v="202"/>
    <n v="67.333333333333329"/>
    <n v="0.67333333333333334"/>
    <n v="534"/>
  </r>
  <r>
    <x v="1"/>
    <x v="1"/>
    <s v="associate's degree"/>
    <s v="free/reduced"/>
    <x v="1"/>
    <n v="69"/>
    <n v="70"/>
    <n v="63"/>
    <n v="202"/>
    <n v="67.333333333333329"/>
    <n v="0.67333333333333334"/>
    <n v="534"/>
  </r>
  <r>
    <x v="1"/>
    <x v="0"/>
    <s v="some high school"/>
    <s v="standard"/>
    <x v="0"/>
    <n v="73"/>
    <n v="66"/>
    <n v="63"/>
    <n v="202"/>
    <n v="67.333333333333329"/>
    <n v="0.67333333333333334"/>
    <n v="534"/>
  </r>
  <r>
    <x v="1"/>
    <x v="1"/>
    <s v="bachelor's degree"/>
    <s v="standard"/>
    <x v="0"/>
    <n v="63"/>
    <n v="71"/>
    <n v="69"/>
    <n v="203"/>
    <n v="67.666666666666671"/>
    <n v="0.67666666666666664"/>
    <n v="527"/>
  </r>
  <r>
    <x v="0"/>
    <x v="1"/>
    <s v="bachelor's degree"/>
    <s v="standard"/>
    <x v="0"/>
    <n v="61"/>
    <n v="72"/>
    <n v="70"/>
    <n v="203"/>
    <n v="67.666666666666671"/>
    <n v="0.67666666666666664"/>
    <n v="527"/>
  </r>
  <r>
    <x v="0"/>
    <x v="0"/>
    <s v="high school"/>
    <s v="standard"/>
    <x v="0"/>
    <n v="61"/>
    <n v="72"/>
    <n v="70"/>
    <n v="203"/>
    <n v="67.666666666666671"/>
    <n v="0.67666666666666664"/>
    <n v="527"/>
  </r>
  <r>
    <x v="0"/>
    <x v="1"/>
    <s v="some high school"/>
    <s v="standard"/>
    <x v="0"/>
    <n v="66"/>
    <n v="69"/>
    <n v="68"/>
    <n v="203"/>
    <n v="67.666666666666671"/>
    <n v="0.67666666666666664"/>
    <n v="527"/>
  </r>
  <r>
    <x v="1"/>
    <x v="0"/>
    <s v="high school"/>
    <s v="standard"/>
    <x v="1"/>
    <n v="72"/>
    <n v="67"/>
    <n v="64"/>
    <n v="203"/>
    <n v="67.666666666666671"/>
    <n v="0.67666666666666664"/>
    <n v="527"/>
  </r>
  <r>
    <x v="1"/>
    <x v="4"/>
    <s v="some college"/>
    <s v="free/reduced"/>
    <x v="0"/>
    <n v="77"/>
    <n v="62"/>
    <n v="64"/>
    <n v="203"/>
    <n v="67.666666666666671"/>
    <n v="0.67666666666666664"/>
    <n v="527"/>
  </r>
  <r>
    <x v="1"/>
    <x v="4"/>
    <s v="bachelor's degree"/>
    <s v="free/reduced"/>
    <x v="0"/>
    <n v="68"/>
    <n v="68"/>
    <n v="67"/>
    <n v="203"/>
    <n v="67.666666666666671"/>
    <n v="0.67666666666666664"/>
    <n v="527"/>
  </r>
  <r>
    <x v="0"/>
    <x v="4"/>
    <s v="associate's degree"/>
    <s v="standard"/>
    <x v="0"/>
    <n v="65"/>
    <n v="69"/>
    <n v="70"/>
    <n v="204"/>
    <n v="68"/>
    <n v="0.68"/>
    <n v="512"/>
  </r>
  <r>
    <x v="1"/>
    <x v="2"/>
    <s v="some high school"/>
    <s v="free/reduced"/>
    <x v="0"/>
    <n v="68"/>
    <n v="72"/>
    <n v="64"/>
    <n v="204"/>
    <n v="68"/>
    <n v="0.68"/>
    <n v="512"/>
  </r>
  <r>
    <x v="0"/>
    <x v="0"/>
    <s v="associate's degree"/>
    <s v="free/reduced"/>
    <x v="1"/>
    <n v="68"/>
    <n v="67"/>
    <n v="69"/>
    <n v="204"/>
    <n v="68"/>
    <n v="0.68"/>
    <n v="512"/>
  </r>
  <r>
    <x v="0"/>
    <x v="0"/>
    <s v="some high school"/>
    <s v="standard"/>
    <x v="0"/>
    <n v="63"/>
    <n v="73"/>
    <n v="68"/>
    <n v="204"/>
    <n v="68"/>
    <n v="0.68"/>
    <n v="512"/>
  </r>
  <r>
    <x v="1"/>
    <x v="2"/>
    <s v="high school"/>
    <s v="free/reduced"/>
    <x v="1"/>
    <n v="72"/>
    <n v="67"/>
    <n v="65"/>
    <n v="204"/>
    <n v="68"/>
    <n v="0.68"/>
    <n v="512"/>
  </r>
  <r>
    <x v="1"/>
    <x v="3"/>
    <s v="bachelor's degree"/>
    <s v="standard"/>
    <x v="1"/>
    <n v="76"/>
    <n v="62"/>
    <n v="66"/>
    <n v="204"/>
    <n v="68"/>
    <n v="0.68"/>
    <n v="512"/>
  </r>
  <r>
    <x v="1"/>
    <x v="2"/>
    <s v="high school"/>
    <s v="standard"/>
    <x v="0"/>
    <n v="68"/>
    <n v="70"/>
    <n v="66"/>
    <n v="204"/>
    <n v="68"/>
    <n v="0.68"/>
    <n v="512"/>
  </r>
  <r>
    <x v="1"/>
    <x v="1"/>
    <s v="high school"/>
    <s v="standard"/>
    <x v="0"/>
    <n v="79"/>
    <n v="60"/>
    <n v="65"/>
    <n v="204"/>
    <n v="68"/>
    <n v="0.68"/>
    <n v="512"/>
  </r>
  <r>
    <x v="0"/>
    <x v="1"/>
    <s v="some high school"/>
    <s v="standard"/>
    <x v="1"/>
    <n v="60"/>
    <n v="70"/>
    <n v="74"/>
    <n v="204"/>
    <n v="68"/>
    <n v="0.68"/>
    <n v="512"/>
  </r>
  <r>
    <x v="0"/>
    <x v="0"/>
    <s v="some college"/>
    <s v="free/reduced"/>
    <x v="0"/>
    <n v="62"/>
    <n v="72"/>
    <n v="70"/>
    <n v="204"/>
    <n v="68"/>
    <n v="0.68"/>
    <n v="512"/>
  </r>
  <r>
    <x v="0"/>
    <x v="0"/>
    <s v="associate's degree"/>
    <s v="standard"/>
    <x v="1"/>
    <n v="59"/>
    <n v="73"/>
    <n v="72"/>
    <n v="204"/>
    <n v="68"/>
    <n v="0.68"/>
    <n v="512"/>
  </r>
  <r>
    <x v="1"/>
    <x v="3"/>
    <s v="bachelor's degree"/>
    <s v="standard"/>
    <x v="1"/>
    <n v="70"/>
    <n v="64"/>
    <n v="70"/>
    <n v="204"/>
    <n v="68"/>
    <n v="0.68"/>
    <n v="512"/>
  </r>
  <r>
    <x v="0"/>
    <x v="3"/>
    <s v="some college"/>
    <s v="standard"/>
    <x v="0"/>
    <n v="68"/>
    <n v="70"/>
    <n v="66"/>
    <n v="204"/>
    <n v="68"/>
    <n v="0.68"/>
    <n v="512"/>
  </r>
  <r>
    <x v="1"/>
    <x v="4"/>
    <s v="high school"/>
    <s v="standard"/>
    <x v="0"/>
    <n v="72"/>
    <n v="66"/>
    <n v="66"/>
    <n v="204"/>
    <n v="68"/>
    <n v="0.68"/>
    <n v="512"/>
  </r>
  <r>
    <x v="0"/>
    <x v="4"/>
    <s v="some college"/>
    <s v="standard"/>
    <x v="0"/>
    <n v="62"/>
    <n v="70"/>
    <n v="72"/>
    <n v="204"/>
    <n v="68"/>
    <n v="0.68"/>
    <n v="512"/>
  </r>
  <r>
    <x v="1"/>
    <x v="0"/>
    <s v="high school"/>
    <s v="standard"/>
    <x v="0"/>
    <n v="70"/>
    <n v="70"/>
    <n v="65"/>
    <n v="205"/>
    <n v="68.333333333333329"/>
    <n v="0.68333333333333335"/>
    <n v="499"/>
  </r>
  <r>
    <x v="0"/>
    <x v="3"/>
    <s v="some college"/>
    <s v="standard"/>
    <x v="1"/>
    <n v="63"/>
    <n v="72"/>
    <n v="70"/>
    <n v="205"/>
    <n v="68.333333333333329"/>
    <n v="0.68333333333333335"/>
    <n v="499"/>
  </r>
  <r>
    <x v="1"/>
    <x v="0"/>
    <s v="master's degree"/>
    <s v="free/reduced"/>
    <x v="1"/>
    <n v="62"/>
    <n v="68"/>
    <n v="75"/>
    <n v="205"/>
    <n v="68.333333333333329"/>
    <n v="0.68333333333333335"/>
    <n v="499"/>
  </r>
  <r>
    <x v="0"/>
    <x v="3"/>
    <s v="some college"/>
    <s v="standard"/>
    <x v="0"/>
    <n v="62"/>
    <n v="73"/>
    <n v="70"/>
    <n v="205"/>
    <n v="68.333333333333329"/>
    <n v="0.68333333333333335"/>
    <n v="499"/>
  </r>
  <r>
    <x v="0"/>
    <x v="0"/>
    <s v="associate's degree"/>
    <s v="free/reduced"/>
    <x v="0"/>
    <n v="64"/>
    <n v="73"/>
    <n v="68"/>
    <n v="205"/>
    <n v="68.333333333333329"/>
    <n v="0.68333333333333335"/>
    <n v="499"/>
  </r>
  <r>
    <x v="1"/>
    <x v="2"/>
    <s v="some college"/>
    <s v="standard"/>
    <x v="0"/>
    <n v="69"/>
    <n v="67"/>
    <n v="69"/>
    <n v="205"/>
    <n v="68.333333333333329"/>
    <n v="0.68333333333333335"/>
    <n v="499"/>
  </r>
  <r>
    <x v="1"/>
    <x v="0"/>
    <s v="some high school"/>
    <s v="free/reduced"/>
    <x v="0"/>
    <n v="69"/>
    <n v="71"/>
    <n v="65"/>
    <n v="205"/>
    <n v="68.333333333333329"/>
    <n v="0.68333333333333335"/>
    <n v="499"/>
  </r>
  <r>
    <x v="1"/>
    <x v="0"/>
    <s v="some high school"/>
    <s v="standard"/>
    <x v="0"/>
    <n v="73"/>
    <n v="66"/>
    <n v="66"/>
    <n v="205"/>
    <n v="68.333333333333329"/>
    <n v="0.68333333333333335"/>
    <n v="499"/>
  </r>
  <r>
    <x v="1"/>
    <x v="1"/>
    <s v="high school"/>
    <s v="standard"/>
    <x v="1"/>
    <n v="72"/>
    <n v="65"/>
    <n v="68"/>
    <n v="205"/>
    <n v="68.333333333333329"/>
    <n v="0.68333333333333335"/>
    <n v="499"/>
  </r>
  <r>
    <x v="1"/>
    <x v="3"/>
    <s v="some college"/>
    <s v="standard"/>
    <x v="0"/>
    <n v="68"/>
    <n v="72"/>
    <n v="65"/>
    <n v="205"/>
    <n v="68.333333333333329"/>
    <n v="0.68333333333333335"/>
    <n v="499"/>
  </r>
  <r>
    <x v="1"/>
    <x v="0"/>
    <s v="master's degree"/>
    <s v="standard"/>
    <x v="0"/>
    <n v="71"/>
    <n v="67"/>
    <n v="67"/>
    <n v="205"/>
    <n v="68.333333333333329"/>
    <n v="0.68333333333333335"/>
    <n v="499"/>
  </r>
  <r>
    <x v="1"/>
    <x v="4"/>
    <s v="associate's degree"/>
    <s v="free/reduced"/>
    <x v="1"/>
    <n v="61"/>
    <n v="71"/>
    <n v="73"/>
    <n v="205"/>
    <n v="68.333333333333329"/>
    <n v="0.68333333333333335"/>
    <n v="499"/>
  </r>
  <r>
    <x v="0"/>
    <x v="3"/>
    <s v="high school"/>
    <s v="free/reduced"/>
    <x v="1"/>
    <n v="57"/>
    <n v="75"/>
    <n v="73"/>
    <n v="205"/>
    <n v="68.333333333333329"/>
    <n v="0.68333333333333335"/>
    <n v="499"/>
  </r>
  <r>
    <x v="0"/>
    <x v="0"/>
    <s v="some college"/>
    <s v="standard"/>
    <x v="0"/>
    <n v="60"/>
    <n v="72"/>
    <n v="74"/>
    <n v="206"/>
    <n v="68.666666666666671"/>
    <n v="0.68666666666666665"/>
    <n v="487"/>
  </r>
  <r>
    <x v="0"/>
    <x v="1"/>
    <s v="some high school"/>
    <s v="standard"/>
    <x v="0"/>
    <n v="70"/>
    <n v="64"/>
    <n v="72"/>
    <n v="206"/>
    <n v="68.666666666666671"/>
    <n v="0.68666666666666665"/>
    <n v="487"/>
  </r>
  <r>
    <x v="1"/>
    <x v="3"/>
    <s v="bachelor's degree"/>
    <s v="standard"/>
    <x v="0"/>
    <n v="82"/>
    <n v="62"/>
    <n v="62"/>
    <n v="206"/>
    <n v="68.666666666666671"/>
    <n v="0.68666666666666665"/>
    <n v="487"/>
  </r>
  <r>
    <x v="1"/>
    <x v="4"/>
    <s v="some college"/>
    <s v="standard"/>
    <x v="0"/>
    <n v="76"/>
    <n v="64"/>
    <n v="66"/>
    <n v="206"/>
    <n v="68.666666666666671"/>
    <n v="0.68666666666666665"/>
    <n v="487"/>
  </r>
  <r>
    <x v="0"/>
    <x v="4"/>
    <s v="some college"/>
    <s v="standard"/>
    <x v="0"/>
    <n v="65"/>
    <n v="70"/>
    <n v="71"/>
    <n v="206"/>
    <n v="68.666666666666671"/>
    <n v="0.68666666666666665"/>
    <n v="487"/>
  </r>
  <r>
    <x v="1"/>
    <x v="4"/>
    <s v="associate's degree"/>
    <s v="standard"/>
    <x v="1"/>
    <n v="67"/>
    <n v="72"/>
    <n v="67"/>
    <n v="206"/>
    <n v="68.666666666666671"/>
    <n v="0.68666666666666665"/>
    <n v="487"/>
  </r>
  <r>
    <x v="0"/>
    <x v="0"/>
    <s v="high school"/>
    <s v="standard"/>
    <x v="0"/>
    <n v="63"/>
    <n v="69"/>
    <n v="74"/>
    <n v="206"/>
    <n v="68.666666666666671"/>
    <n v="0.68666666666666665"/>
    <n v="487"/>
  </r>
  <r>
    <x v="0"/>
    <x v="0"/>
    <s v="associate's degree"/>
    <s v="standard"/>
    <x v="0"/>
    <n v="62"/>
    <n v="74"/>
    <n v="70"/>
    <n v="206"/>
    <n v="68.666666666666671"/>
    <n v="0.68666666666666665"/>
    <n v="487"/>
  </r>
  <r>
    <x v="0"/>
    <x v="0"/>
    <s v="associate's degree"/>
    <s v="standard"/>
    <x v="1"/>
    <n v="55"/>
    <n v="72"/>
    <n v="79"/>
    <n v="206"/>
    <n v="68.666666666666671"/>
    <n v="0.68666666666666665"/>
    <n v="487"/>
  </r>
  <r>
    <x v="1"/>
    <x v="0"/>
    <s v="associate's degree"/>
    <s v="free/reduced"/>
    <x v="1"/>
    <n v="65"/>
    <n v="73"/>
    <n v="68"/>
    <n v="206"/>
    <n v="68.666666666666671"/>
    <n v="0.68666666666666665"/>
    <n v="487"/>
  </r>
  <r>
    <x v="1"/>
    <x v="4"/>
    <s v="associate's degree"/>
    <s v="standard"/>
    <x v="0"/>
    <n v="80"/>
    <n v="63"/>
    <n v="63"/>
    <n v="206"/>
    <n v="68.666666666666671"/>
    <n v="0.68666666666666665"/>
    <n v="487"/>
  </r>
  <r>
    <x v="1"/>
    <x v="4"/>
    <s v="high school"/>
    <s v="free/reduced"/>
    <x v="0"/>
    <n v="69"/>
    <n v="70"/>
    <n v="67"/>
    <n v="206"/>
    <n v="68.666666666666671"/>
    <n v="0.68666666666666665"/>
    <n v="487"/>
  </r>
  <r>
    <x v="0"/>
    <x v="4"/>
    <s v="master's degree"/>
    <s v="standard"/>
    <x v="0"/>
    <n v="62"/>
    <n v="70"/>
    <n v="75"/>
    <n v="207"/>
    <n v="69"/>
    <n v="0.69"/>
    <n v="475"/>
  </r>
  <r>
    <x v="0"/>
    <x v="4"/>
    <s v="associate's degree"/>
    <s v="free/reduced"/>
    <x v="1"/>
    <n v="57"/>
    <n v="74"/>
    <n v="76"/>
    <n v="207"/>
    <n v="69"/>
    <n v="0.69"/>
    <n v="475"/>
  </r>
  <r>
    <x v="0"/>
    <x v="4"/>
    <s v="some high school"/>
    <s v="standard"/>
    <x v="1"/>
    <n v="61"/>
    <n v="74"/>
    <n v="72"/>
    <n v="207"/>
    <n v="69"/>
    <n v="0.69"/>
    <n v="475"/>
  </r>
  <r>
    <x v="1"/>
    <x v="1"/>
    <s v="some high school"/>
    <s v="standard"/>
    <x v="0"/>
    <n v="72"/>
    <n v="68"/>
    <n v="67"/>
    <n v="207"/>
    <n v="69"/>
    <n v="0.69"/>
    <n v="475"/>
  </r>
  <r>
    <x v="1"/>
    <x v="0"/>
    <s v="associate's degree"/>
    <s v="free/reduced"/>
    <x v="0"/>
    <n v="73"/>
    <n v="68"/>
    <n v="66"/>
    <n v="207"/>
    <n v="69"/>
    <n v="0.69"/>
    <n v="475"/>
  </r>
  <r>
    <x v="1"/>
    <x v="4"/>
    <s v="high school"/>
    <s v="free/reduced"/>
    <x v="1"/>
    <n v="73"/>
    <n v="68"/>
    <n v="66"/>
    <n v="207"/>
    <n v="69"/>
    <n v="0.69"/>
    <n v="475"/>
  </r>
  <r>
    <x v="0"/>
    <x v="3"/>
    <s v="bachelor's degree"/>
    <s v="standard"/>
    <x v="0"/>
    <n v="64"/>
    <n v="73"/>
    <n v="70"/>
    <n v="207"/>
    <n v="69"/>
    <n v="0.69"/>
    <n v="475"/>
  </r>
  <r>
    <x v="1"/>
    <x v="4"/>
    <s v="associate's degree"/>
    <s v="standard"/>
    <x v="0"/>
    <n v="75"/>
    <n v="68"/>
    <n v="64"/>
    <n v="207"/>
    <n v="69"/>
    <n v="0.69"/>
    <n v="475"/>
  </r>
  <r>
    <x v="0"/>
    <x v="0"/>
    <s v="bachelor's degree"/>
    <s v="standard"/>
    <x v="1"/>
    <n v="56"/>
    <n v="79"/>
    <n v="72"/>
    <n v="207"/>
    <n v="69"/>
    <n v="0.69"/>
    <n v="475"/>
  </r>
  <r>
    <x v="0"/>
    <x v="0"/>
    <s v="some college"/>
    <s v="free/reduced"/>
    <x v="1"/>
    <n v="63"/>
    <n v="73"/>
    <n v="71"/>
    <n v="207"/>
    <n v="69"/>
    <n v="0.69"/>
    <n v="475"/>
  </r>
  <r>
    <x v="1"/>
    <x v="4"/>
    <s v="bachelor's degree"/>
    <s v="free/reduced"/>
    <x v="1"/>
    <n v="61"/>
    <n v="70"/>
    <n v="76"/>
    <n v="207"/>
    <n v="69"/>
    <n v="0.69"/>
    <n v="475"/>
  </r>
  <r>
    <x v="0"/>
    <x v="4"/>
    <s v="associate's degree"/>
    <s v="free/reduced"/>
    <x v="0"/>
    <n v="55"/>
    <n v="76"/>
    <n v="76"/>
    <n v="207"/>
    <n v="69"/>
    <n v="0.69"/>
    <n v="475"/>
  </r>
  <r>
    <x v="0"/>
    <x v="0"/>
    <s v="associate's degree"/>
    <s v="standard"/>
    <x v="1"/>
    <n v="68"/>
    <n v="67"/>
    <n v="73"/>
    <n v="208"/>
    <n v="69.333333333333329"/>
    <n v="0.69333333333333336"/>
    <n v="465"/>
  </r>
  <r>
    <x v="1"/>
    <x v="0"/>
    <s v="associate's degree"/>
    <s v="free/reduced"/>
    <x v="0"/>
    <n v="77"/>
    <n v="67"/>
    <n v="64"/>
    <n v="208"/>
    <n v="69.333333333333329"/>
    <n v="0.69333333333333336"/>
    <n v="465"/>
  </r>
  <r>
    <x v="1"/>
    <x v="0"/>
    <s v="some college"/>
    <s v="standard"/>
    <x v="0"/>
    <n v="73"/>
    <n v="74"/>
    <n v="61"/>
    <n v="208"/>
    <n v="69.333333333333329"/>
    <n v="0.69333333333333336"/>
    <n v="465"/>
  </r>
  <r>
    <x v="1"/>
    <x v="4"/>
    <s v="some high school"/>
    <s v="standard"/>
    <x v="1"/>
    <n v="71"/>
    <n v="69"/>
    <n v="68"/>
    <n v="208"/>
    <n v="69.333333333333329"/>
    <n v="0.69333333333333336"/>
    <n v="465"/>
  </r>
  <r>
    <x v="0"/>
    <x v="1"/>
    <s v="high school"/>
    <s v="standard"/>
    <x v="0"/>
    <n v="66"/>
    <n v="72"/>
    <n v="70"/>
    <n v="208"/>
    <n v="69.333333333333329"/>
    <n v="0.69333333333333336"/>
    <n v="465"/>
  </r>
  <r>
    <x v="1"/>
    <x v="0"/>
    <s v="some high school"/>
    <s v="standard"/>
    <x v="1"/>
    <n v="67"/>
    <n v="73"/>
    <n v="68"/>
    <n v="208"/>
    <n v="69.333333333333329"/>
    <n v="0.69333333333333336"/>
    <n v="465"/>
  </r>
  <r>
    <x v="1"/>
    <x v="1"/>
    <s v="some college"/>
    <s v="free/reduced"/>
    <x v="0"/>
    <n v="75"/>
    <n v="68"/>
    <n v="65"/>
    <n v="208"/>
    <n v="69.333333333333329"/>
    <n v="0.69333333333333336"/>
    <n v="465"/>
  </r>
  <r>
    <x v="0"/>
    <x v="1"/>
    <s v="high school"/>
    <s v="free/reduced"/>
    <x v="0"/>
    <n v="64"/>
    <n v="73"/>
    <n v="71"/>
    <n v="208"/>
    <n v="69.333333333333329"/>
    <n v="0.69333333333333336"/>
    <n v="465"/>
  </r>
  <r>
    <x v="0"/>
    <x v="4"/>
    <s v="some college"/>
    <s v="free/reduced"/>
    <x v="0"/>
    <n v="69"/>
    <n v="65"/>
    <n v="74"/>
    <n v="208"/>
    <n v="69.333333333333329"/>
    <n v="0.69333333333333336"/>
    <n v="465"/>
  </r>
  <r>
    <x v="0"/>
    <x v="4"/>
    <s v="bachelor's degree"/>
    <s v="free/reduced"/>
    <x v="0"/>
    <n v="62"/>
    <n v="72"/>
    <n v="74"/>
    <n v="208"/>
    <n v="69.333333333333329"/>
    <n v="0.69333333333333336"/>
    <n v="465"/>
  </r>
  <r>
    <x v="0"/>
    <x v="0"/>
    <s v="associate's degree"/>
    <s v="free/reduced"/>
    <x v="0"/>
    <n v="60"/>
    <n v="75"/>
    <n v="74"/>
    <n v="209"/>
    <n v="69.666666666666671"/>
    <n v="0.69666666666666666"/>
    <n v="460"/>
  </r>
  <r>
    <x v="1"/>
    <x v="0"/>
    <s v="some high school"/>
    <s v="standard"/>
    <x v="0"/>
    <n v="75"/>
    <n v="72"/>
    <n v="62"/>
    <n v="209"/>
    <n v="69.666666666666671"/>
    <n v="0.69666666666666666"/>
    <n v="460"/>
  </r>
  <r>
    <x v="1"/>
    <x v="2"/>
    <s v="high school"/>
    <s v="standard"/>
    <x v="0"/>
    <n v="71"/>
    <n v="74"/>
    <n v="64"/>
    <n v="209"/>
    <n v="69.666666666666671"/>
    <n v="0.69666666666666666"/>
    <n v="460"/>
  </r>
  <r>
    <x v="0"/>
    <x v="2"/>
    <s v="associate's degree"/>
    <s v="standard"/>
    <x v="1"/>
    <n v="65"/>
    <n v="70"/>
    <n v="74"/>
    <n v="209"/>
    <n v="69.666666666666671"/>
    <n v="0.69666666666666666"/>
    <n v="460"/>
  </r>
  <r>
    <x v="1"/>
    <x v="4"/>
    <s v="high school"/>
    <s v="free/reduced"/>
    <x v="0"/>
    <n v="66"/>
    <n v="74"/>
    <n v="69"/>
    <n v="209"/>
    <n v="69.666666666666671"/>
    <n v="0.69666666666666666"/>
    <n v="460"/>
  </r>
  <r>
    <x v="0"/>
    <x v="1"/>
    <s v="some college"/>
    <s v="free/reduced"/>
    <x v="1"/>
    <n v="65"/>
    <n v="75"/>
    <n v="70"/>
    <n v="210"/>
    <n v="70"/>
    <n v="0.7"/>
    <n v="448"/>
  </r>
  <r>
    <x v="1"/>
    <x v="3"/>
    <s v="some college"/>
    <s v="standard"/>
    <x v="0"/>
    <n v="76"/>
    <n v="67"/>
    <n v="67"/>
    <n v="210"/>
    <n v="70"/>
    <n v="0.7"/>
    <n v="448"/>
  </r>
  <r>
    <x v="1"/>
    <x v="1"/>
    <s v="high school"/>
    <s v="standard"/>
    <x v="1"/>
    <n v="73"/>
    <n v="69"/>
    <n v="68"/>
    <n v="210"/>
    <n v="70"/>
    <n v="0.7"/>
    <n v="448"/>
  </r>
  <r>
    <x v="0"/>
    <x v="4"/>
    <s v="master's degree"/>
    <s v="free/reduced"/>
    <x v="1"/>
    <n v="61"/>
    <n v="71"/>
    <n v="78"/>
    <n v="210"/>
    <n v="70"/>
    <n v="0.7"/>
    <n v="448"/>
  </r>
  <r>
    <x v="0"/>
    <x v="0"/>
    <s v="high school"/>
    <s v="free/reduced"/>
    <x v="0"/>
    <n v="66"/>
    <n v="76"/>
    <n v="68"/>
    <n v="210"/>
    <n v="70"/>
    <n v="0.7"/>
    <n v="448"/>
  </r>
  <r>
    <x v="1"/>
    <x v="3"/>
    <s v="bachelor's degree"/>
    <s v="free/reduced"/>
    <x v="1"/>
    <n v="70"/>
    <n v="68"/>
    <n v="72"/>
    <n v="210"/>
    <n v="70"/>
    <n v="0.7"/>
    <n v="448"/>
  </r>
  <r>
    <x v="0"/>
    <x v="0"/>
    <s v="high school"/>
    <s v="standard"/>
    <x v="1"/>
    <n v="58"/>
    <n v="75"/>
    <n v="77"/>
    <n v="210"/>
    <n v="70"/>
    <n v="0.7"/>
    <n v="448"/>
  </r>
  <r>
    <x v="1"/>
    <x v="4"/>
    <s v="high school"/>
    <s v="standard"/>
    <x v="0"/>
    <n v="70"/>
    <n v="70"/>
    <n v="70"/>
    <n v="210"/>
    <n v="70"/>
    <n v="0.7"/>
    <n v="448"/>
  </r>
  <r>
    <x v="0"/>
    <x v="0"/>
    <s v="some high school"/>
    <s v="standard"/>
    <x v="0"/>
    <n v="65"/>
    <n v="69"/>
    <n v="76"/>
    <n v="210"/>
    <n v="70"/>
    <n v="0.7"/>
    <n v="448"/>
  </r>
  <r>
    <x v="1"/>
    <x v="3"/>
    <s v="some high school"/>
    <s v="standard"/>
    <x v="0"/>
    <n v="82"/>
    <n v="67"/>
    <n v="61"/>
    <n v="210"/>
    <n v="70"/>
    <n v="0.7"/>
    <n v="448"/>
  </r>
  <r>
    <x v="1"/>
    <x v="0"/>
    <s v="some college"/>
    <s v="free/reduced"/>
    <x v="0"/>
    <n v="80"/>
    <n v="64"/>
    <n v="66"/>
    <n v="210"/>
    <n v="70"/>
    <n v="0.7"/>
    <n v="448"/>
  </r>
  <r>
    <x v="1"/>
    <x v="0"/>
    <s v="master's degree"/>
    <s v="free/reduced"/>
    <x v="1"/>
    <n v="72"/>
    <n v="66"/>
    <n v="72"/>
    <n v="210"/>
    <n v="70"/>
    <n v="0.7"/>
    <n v="448"/>
  </r>
  <r>
    <x v="0"/>
    <x v="0"/>
    <s v="bachelor's degree"/>
    <s v="standard"/>
    <x v="0"/>
    <n v="67"/>
    <n v="69"/>
    <n v="75"/>
    <n v="211"/>
    <n v="70.333333333333329"/>
    <n v="0.70333333333333337"/>
    <n v="440"/>
  </r>
  <r>
    <x v="0"/>
    <x v="0"/>
    <s v="bachelor's degree"/>
    <s v="standard"/>
    <x v="0"/>
    <n v="65"/>
    <n v="72"/>
    <n v="74"/>
    <n v="211"/>
    <n v="70.333333333333329"/>
    <n v="0.70333333333333337"/>
    <n v="440"/>
  </r>
  <r>
    <x v="0"/>
    <x v="0"/>
    <s v="some college"/>
    <s v="standard"/>
    <x v="0"/>
    <n v="63"/>
    <n v="74"/>
    <n v="74"/>
    <n v="211"/>
    <n v="70.333333333333329"/>
    <n v="0.70333333333333337"/>
    <n v="440"/>
  </r>
  <r>
    <x v="0"/>
    <x v="4"/>
    <s v="some high school"/>
    <s v="standard"/>
    <x v="0"/>
    <n v="59"/>
    <n v="72"/>
    <n v="80"/>
    <n v="211"/>
    <n v="70.333333333333329"/>
    <n v="0.70333333333333337"/>
    <n v="440"/>
  </r>
  <r>
    <x v="0"/>
    <x v="3"/>
    <s v="bachelor's degree"/>
    <s v="standard"/>
    <x v="1"/>
    <n v="71"/>
    <n v="70"/>
    <n v="70"/>
    <n v="211"/>
    <n v="70.333333333333329"/>
    <n v="0.70333333333333337"/>
    <n v="440"/>
  </r>
  <r>
    <x v="1"/>
    <x v="0"/>
    <s v="some college"/>
    <s v="free/reduced"/>
    <x v="1"/>
    <n v="67"/>
    <n v="74"/>
    <n v="70"/>
    <n v="211"/>
    <n v="70.333333333333329"/>
    <n v="0.70333333333333337"/>
    <n v="440"/>
  </r>
  <r>
    <x v="1"/>
    <x v="0"/>
    <s v="high school"/>
    <s v="standard"/>
    <x v="0"/>
    <n v="81"/>
    <n v="66"/>
    <n v="64"/>
    <n v="211"/>
    <n v="70.333333333333329"/>
    <n v="0.70333333333333337"/>
    <n v="440"/>
  </r>
  <r>
    <x v="0"/>
    <x v="3"/>
    <s v="associate's degree"/>
    <s v="standard"/>
    <x v="0"/>
    <n v="68"/>
    <n v="76"/>
    <n v="67"/>
    <n v="211"/>
    <n v="70.333333333333329"/>
    <n v="0.70333333333333337"/>
    <n v="440"/>
  </r>
  <r>
    <x v="1"/>
    <x v="2"/>
    <s v="bachelor's degree"/>
    <s v="standard"/>
    <x v="0"/>
    <n v="77"/>
    <n v="67"/>
    <n v="68"/>
    <n v="212"/>
    <n v="70.666666666666671"/>
    <n v="0.70666666666666667"/>
    <n v="435"/>
  </r>
  <r>
    <x v="0"/>
    <x v="1"/>
    <s v="master's degree"/>
    <s v="free/reduced"/>
    <x v="1"/>
    <n v="58"/>
    <n v="76"/>
    <n v="78"/>
    <n v="212"/>
    <n v="70.666666666666671"/>
    <n v="0.70666666666666667"/>
    <n v="435"/>
  </r>
  <r>
    <x v="0"/>
    <x v="0"/>
    <s v="some college"/>
    <s v="free/reduced"/>
    <x v="1"/>
    <n v="67"/>
    <n v="75"/>
    <n v="70"/>
    <n v="212"/>
    <n v="70.666666666666671"/>
    <n v="0.70666666666666667"/>
    <n v="435"/>
  </r>
  <r>
    <x v="1"/>
    <x v="1"/>
    <s v="high school"/>
    <s v="standard"/>
    <x v="1"/>
    <n v="73"/>
    <n v="71"/>
    <n v="68"/>
    <n v="212"/>
    <n v="70.666666666666671"/>
    <n v="0.70666666666666667"/>
    <n v="435"/>
  </r>
  <r>
    <x v="1"/>
    <x v="0"/>
    <s v="high school"/>
    <s v="standard"/>
    <x v="1"/>
    <n v="75"/>
    <n v="69"/>
    <n v="68"/>
    <n v="212"/>
    <n v="70.666666666666671"/>
    <n v="0.70666666666666667"/>
    <n v="435"/>
  </r>
  <r>
    <x v="0"/>
    <x v="0"/>
    <s v="high school"/>
    <s v="standard"/>
    <x v="0"/>
    <n v="66"/>
    <n v="71"/>
    <n v="76"/>
    <n v="213"/>
    <n v="71"/>
    <n v="0.71"/>
    <n v="424"/>
  </r>
  <r>
    <x v="1"/>
    <x v="1"/>
    <s v="some college"/>
    <s v="standard"/>
    <x v="0"/>
    <n v="79"/>
    <n v="67"/>
    <n v="67"/>
    <n v="213"/>
    <n v="71"/>
    <n v="0.71"/>
    <n v="424"/>
  </r>
  <r>
    <x v="1"/>
    <x v="1"/>
    <s v="high school"/>
    <s v="free/reduced"/>
    <x v="0"/>
    <n v="66"/>
    <n v="77"/>
    <n v="70"/>
    <n v="213"/>
    <n v="71"/>
    <n v="0.71"/>
    <n v="424"/>
  </r>
  <r>
    <x v="0"/>
    <x v="3"/>
    <s v="bachelor's degree"/>
    <s v="standard"/>
    <x v="0"/>
    <n v="65"/>
    <n v="73"/>
    <n v="75"/>
    <n v="213"/>
    <n v="71"/>
    <n v="0.71"/>
    <n v="424"/>
  </r>
  <r>
    <x v="1"/>
    <x v="3"/>
    <s v="associate's degree"/>
    <s v="standard"/>
    <x v="1"/>
    <n v="71"/>
    <n v="74"/>
    <n v="68"/>
    <n v="213"/>
    <n v="71"/>
    <n v="0.71"/>
    <n v="424"/>
  </r>
  <r>
    <x v="1"/>
    <x v="0"/>
    <s v="bachelor's degree"/>
    <s v="standard"/>
    <x v="1"/>
    <n v="71"/>
    <n v="74"/>
    <n v="68"/>
    <n v="213"/>
    <n v="71"/>
    <n v="0.71"/>
    <n v="424"/>
  </r>
  <r>
    <x v="0"/>
    <x v="4"/>
    <s v="some college"/>
    <s v="free/reduced"/>
    <x v="1"/>
    <n v="59"/>
    <n v="78"/>
    <n v="76"/>
    <n v="213"/>
    <n v="71"/>
    <n v="0.71"/>
    <n v="424"/>
  </r>
  <r>
    <x v="0"/>
    <x v="3"/>
    <s v="some college"/>
    <s v="standard"/>
    <x v="1"/>
    <n v="66"/>
    <n v="74"/>
    <n v="73"/>
    <n v="213"/>
    <n v="71"/>
    <n v="0.71"/>
    <n v="424"/>
  </r>
  <r>
    <x v="0"/>
    <x v="4"/>
    <s v="high school"/>
    <s v="standard"/>
    <x v="0"/>
    <n v="67"/>
    <n v="72"/>
    <n v="74"/>
    <n v="213"/>
    <n v="71"/>
    <n v="0.71"/>
    <n v="424"/>
  </r>
  <r>
    <x v="0"/>
    <x v="4"/>
    <s v="some college"/>
    <s v="free/reduced"/>
    <x v="0"/>
    <n v="64"/>
    <n v="74"/>
    <n v="75"/>
    <n v="213"/>
    <n v="71"/>
    <n v="0.71"/>
    <n v="424"/>
  </r>
  <r>
    <x v="1"/>
    <x v="4"/>
    <s v="high school"/>
    <s v="free/reduced"/>
    <x v="0"/>
    <n v="74"/>
    <n v="70"/>
    <n v="69"/>
    <n v="213"/>
    <n v="71"/>
    <n v="0.71"/>
    <n v="424"/>
  </r>
  <r>
    <x v="1"/>
    <x v="3"/>
    <s v="associate's degree"/>
    <s v="free/reduced"/>
    <x v="1"/>
    <n v="77"/>
    <n v="69"/>
    <n v="68"/>
    <n v="214"/>
    <n v="71.333333333333329"/>
    <n v="0.71333333333333337"/>
    <n v="412"/>
  </r>
  <r>
    <x v="1"/>
    <x v="0"/>
    <s v="associate's degree"/>
    <s v="standard"/>
    <x v="0"/>
    <n v="76"/>
    <n v="70"/>
    <n v="68"/>
    <n v="214"/>
    <n v="71.333333333333329"/>
    <n v="0.71333333333333337"/>
    <n v="412"/>
  </r>
  <r>
    <x v="1"/>
    <x v="0"/>
    <s v="associate's degree"/>
    <s v="standard"/>
    <x v="0"/>
    <n v="74"/>
    <n v="73"/>
    <n v="67"/>
    <n v="214"/>
    <n v="71.333333333333329"/>
    <n v="0.71333333333333337"/>
    <n v="412"/>
  </r>
  <r>
    <x v="1"/>
    <x v="4"/>
    <s v="associate's degree"/>
    <s v="free/reduced"/>
    <x v="0"/>
    <n v="75"/>
    <n v="66"/>
    <n v="73"/>
    <n v="214"/>
    <n v="71.333333333333329"/>
    <n v="0.71333333333333337"/>
    <n v="412"/>
  </r>
  <r>
    <x v="1"/>
    <x v="3"/>
    <s v="associate's degree"/>
    <s v="standard"/>
    <x v="0"/>
    <n v="76"/>
    <n v="71"/>
    <n v="67"/>
    <n v="214"/>
    <n v="71.333333333333329"/>
    <n v="0.71333333333333337"/>
    <n v="412"/>
  </r>
  <r>
    <x v="0"/>
    <x v="4"/>
    <s v="bachelor's degree"/>
    <s v="free/reduced"/>
    <x v="0"/>
    <n v="63"/>
    <n v="73"/>
    <n v="78"/>
    <n v="214"/>
    <n v="71.333333333333329"/>
    <n v="0.71333333333333337"/>
    <n v="412"/>
  </r>
  <r>
    <x v="0"/>
    <x v="4"/>
    <s v="associate's degree"/>
    <s v="standard"/>
    <x v="1"/>
    <n v="57"/>
    <n v="78"/>
    <n v="79"/>
    <n v="214"/>
    <n v="71.333333333333329"/>
    <n v="0.71333333333333337"/>
    <n v="412"/>
  </r>
  <r>
    <x v="0"/>
    <x v="4"/>
    <s v="some high school"/>
    <s v="standard"/>
    <x v="0"/>
    <n v="68"/>
    <n v="71"/>
    <n v="75"/>
    <n v="214"/>
    <n v="71.333333333333329"/>
    <n v="0.71333333333333337"/>
    <n v="412"/>
  </r>
  <r>
    <x v="0"/>
    <x v="4"/>
    <s v="associate's degree"/>
    <s v="standard"/>
    <x v="0"/>
    <n v="64"/>
    <n v="76"/>
    <n v="74"/>
    <n v="214"/>
    <n v="71.333333333333329"/>
    <n v="0.71333333333333337"/>
    <n v="412"/>
  </r>
  <r>
    <x v="0"/>
    <x v="0"/>
    <s v="bachelor's degree"/>
    <s v="free/reduced"/>
    <x v="0"/>
    <n v="67"/>
    <n v="75"/>
    <n v="72"/>
    <n v="214"/>
    <n v="71.333333333333329"/>
    <n v="0.71333333333333337"/>
    <n v="412"/>
  </r>
  <r>
    <x v="0"/>
    <x v="0"/>
    <s v="associate's degree"/>
    <s v="standard"/>
    <x v="1"/>
    <n v="57"/>
    <n v="77"/>
    <n v="80"/>
    <n v="214"/>
    <n v="71.333333333333329"/>
    <n v="0.71333333333333337"/>
    <n v="412"/>
  </r>
  <r>
    <x v="1"/>
    <x v="4"/>
    <s v="some high school"/>
    <s v="standard"/>
    <x v="1"/>
    <n v="77"/>
    <n v="68"/>
    <n v="69"/>
    <n v="214"/>
    <n v="71.333333333333329"/>
    <n v="0.71333333333333337"/>
    <n v="412"/>
  </r>
  <r>
    <x v="0"/>
    <x v="0"/>
    <s v="some high school"/>
    <s v="standard"/>
    <x v="0"/>
    <n v="69"/>
    <n v="73"/>
    <n v="73"/>
    <n v="215"/>
    <n v="71.666666666666671"/>
    <n v="0.71666666666666667"/>
    <n v="404"/>
  </r>
  <r>
    <x v="1"/>
    <x v="0"/>
    <s v="associate's degree"/>
    <s v="standard"/>
    <x v="0"/>
    <n v="69"/>
    <n v="77"/>
    <n v="69"/>
    <n v="215"/>
    <n v="71.666666666666671"/>
    <n v="0.71666666666666667"/>
    <n v="404"/>
  </r>
  <r>
    <x v="0"/>
    <x v="0"/>
    <s v="some college"/>
    <s v="standard"/>
    <x v="0"/>
    <n v="72"/>
    <n v="72"/>
    <n v="71"/>
    <n v="215"/>
    <n v="71.666666666666671"/>
    <n v="0.71666666666666667"/>
    <n v="404"/>
  </r>
  <r>
    <x v="1"/>
    <x v="4"/>
    <s v="some high school"/>
    <s v="standard"/>
    <x v="1"/>
    <n v="76"/>
    <n v="70"/>
    <n v="69"/>
    <n v="215"/>
    <n v="71.666666666666671"/>
    <n v="0.71666666666666667"/>
    <n v="404"/>
  </r>
  <r>
    <x v="1"/>
    <x v="4"/>
    <s v="high school"/>
    <s v="free/reduced"/>
    <x v="0"/>
    <n v="75"/>
    <n v="74"/>
    <n v="66"/>
    <n v="215"/>
    <n v="71.666666666666671"/>
    <n v="0.71666666666666667"/>
    <n v="404"/>
  </r>
  <r>
    <x v="0"/>
    <x v="4"/>
    <s v="master's degree"/>
    <s v="standard"/>
    <x v="1"/>
    <n v="70"/>
    <n v="71"/>
    <n v="74"/>
    <n v="215"/>
    <n v="71.666666666666671"/>
    <n v="0.71666666666666667"/>
    <n v="404"/>
  </r>
  <r>
    <x v="1"/>
    <x v="0"/>
    <s v="high school"/>
    <s v="standard"/>
    <x v="0"/>
    <n v="70"/>
    <n v="74"/>
    <n v="71"/>
    <n v="215"/>
    <n v="71.666666666666671"/>
    <n v="0.71666666666666667"/>
    <n v="404"/>
  </r>
  <r>
    <x v="1"/>
    <x v="4"/>
    <s v="high school"/>
    <s v="standard"/>
    <x v="0"/>
    <n v="69"/>
    <n v="75"/>
    <n v="71"/>
    <n v="215"/>
    <n v="71.666666666666671"/>
    <n v="0.71666666666666667"/>
    <n v="404"/>
  </r>
  <r>
    <x v="0"/>
    <x v="4"/>
    <s v="associate's degree"/>
    <s v="standard"/>
    <x v="0"/>
    <n v="71"/>
    <n v="71"/>
    <n v="74"/>
    <n v="216"/>
    <n v="72"/>
    <n v="0.72"/>
    <n v="395"/>
  </r>
  <r>
    <x v="1"/>
    <x v="4"/>
    <s v="bachelor's degree"/>
    <s v="standard"/>
    <x v="1"/>
    <n v="68"/>
    <n v="74"/>
    <n v="74"/>
    <n v="216"/>
    <n v="72"/>
    <n v="0.72"/>
    <n v="395"/>
  </r>
  <r>
    <x v="1"/>
    <x v="4"/>
    <s v="some college"/>
    <s v="standard"/>
    <x v="1"/>
    <n v="65"/>
    <n v="77"/>
    <n v="74"/>
    <n v="216"/>
    <n v="72"/>
    <n v="0.72"/>
    <n v="395"/>
  </r>
  <r>
    <x v="0"/>
    <x v="0"/>
    <s v="some high school"/>
    <s v="standard"/>
    <x v="1"/>
    <n v="65"/>
    <n v="74"/>
    <n v="77"/>
    <n v="216"/>
    <n v="72"/>
    <n v="0.72"/>
    <n v="395"/>
  </r>
  <r>
    <x v="0"/>
    <x v="0"/>
    <s v="associate's degree"/>
    <s v="free/reduced"/>
    <x v="0"/>
    <n v="65"/>
    <n v="77"/>
    <n v="74"/>
    <n v="216"/>
    <n v="72"/>
    <n v="0.72"/>
    <n v="395"/>
  </r>
  <r>
    <x v="1"/>
    <x v="1"/>
    <s v="some college"/>
    <s v="standard"/>
    <x v="1"/>
    <n v="71"/>
    <n v="75"/>
    <n v="70"/>
    <n v="216"/>
    <n v="72"/>
    <n v="0.72"/>
    <n v="395"/>
  </r>
  <r>
    <x v="0"/>
    <x v="0"/>
    <s v="associate's degree"/>
    <s v="standard"/>
    <x v="0"/>
    <n v="65"/>
    <n v="77"/>
    <n v="74"/>
    <n v="216"/>
    <n v="72"/>
    <n v="0.72"/>
    <n v="395"/>
  </r>
  <r>
    <x v="0"/>
    <x v="0"/>
    <s v="associate's degree"/>
    <s v="standard"/>
    <x v="0"/>
    <n v="66"/>
    <n v="77"/>
    <n v="73"/>
    <n v="216"/>
    <n v="72"/>
    <n v="0.72"/>
    <n v="395"/>
  </r>
  <r>
    <x v="0"/>
    <x v="0"/>
    <s v="some high school"/>
    <s v="free/reduced"/>
    <x v="1"/>
    <n v="65"/>
    <n v="76"/>
    <n v="75"/>
    <n v="216"/>
    <n v="72"/>
    <n v="0.72"/>
    <n v="395"/>
  </r>
  <r>
    <x v="0"/>
    <x v="4"/>
    <s v="some college"/>
    <s v="standard"/>
    <x v="0"/>
    <n v="69"/>
    <n v="74"/>
    <n v="74"/>
    <n v="217"/>
    <n v="72.333333333333329"/>
    <n v="0.72333333333333338"/>
    <n v="389"/>
  </r>
  <r>
    <x v="1"/>
    <x v="4"/>
    <s v="high school"/>
    <s v="standard"/>
    <x v="0"/>
    <n v="76"/>
    <n v="73"/>
    <n v="68"/>
    <n v="217"/>
    <n v="72.333333333333329"/>
    <n v="0.72333333333333338"/>
    <n v="389"/>
  </r>
  <r>
    <x v="0"/>
    <x v="3"/>
    <s v="some college"/>
    <s v="free/reduced"/>
    <x v="0"/>
    <n v="71"/>
    <n v="76"/>
    <n v="70"/>
    <n v="217"/>
    <n v="72.333333333333329"/>
    <n v="0.72333333333333338"/>
    <n v="389"/>
  </r>
  <r>
    <x v="0"/>
    <x v="3"/>
    <s v="some college"/>
    <s v="standard"/>
    <x v="0"/>
    <n v="71"/>
    <n v="70"/>
    <n v="76"/>
    <n v="217"/>
    <n v="72.333333333333329"/>
    <n v="0.72333333333333338"/>
    <n v="389"/>
  </r>
  <r>
    <x v="0"/>
    <x v="0"/>
    <s v="associate's degree"/>
    <s v="standard"/>
    <x v="0"/>
    <n v="65"/>
    <n v="76"/>
    <n v="76"/>
    <n v="217"/>
    <n v="72.333333333333329"/>
    <n v="0.72333333333333338"/>
    <n v="389"/>
  </r>
  <r>
    <x v="0"/>
    <x v="3"/>
    <s v="associate's degree"/>
    <s v="standard"/>
    <x v="1"/>
    <n v="65"/>
    <n v="75"/>
    <n v="77"/>
    <n v="217"/>
    <n v="72.333333333333329"/>
    <n v="0.72333333333333338"/>
    <n v="389"/>
  </r>
  <r>
    <x v="0"/>
    <x v="1"/>
    <s v="bachelor's degree"/>
    <s v="standard"/>
    <x v="0"/>
    <n v="72"/>
    <n v="72"/>
    <n v="74"/>
    <n v="218"/>
    <n v="72.666666666666671"/>
    <n v="0.72666666666666668"/>
    <n v="379"/>
  </r>
  <r>
    <x v="0"/>
    <x v="3"/>
    <s v="high school"/>
    <s v="free/reduced"/>
    <x v="1"/>
    <n v="66"/>
    <n v="74"/>
    <n v="78"/>
    <n v="218"/>
    <n v="72.666666666666671"/>
    <n v="0.72666666666666668"/>
    <n v="379"/>
  </r>
  <r>
    <x v="1"/>
    <x v="4"/>
    <s v="some high school"/>
    <s v="standard"/>
    <x v="0"/>
    <n v="75"/>
    <n v="74"/>
    <n v="69"/>
    <n v="218"/>
    <n v="72.666666666666671"/>
    <n v="0.72666666666666668"/>
    <n v="379"/>
  </r>
  <r>
    <x v="0"/>
    <x v="4"/>
    <s v="high school"/>
    <s v="standard"/>
    <x v="0"/>
    <n v="69"/>
    <n v="72"/>
    <n v="77"/>
    <n v="218"/>
    <n v="72.666666666666671"/>
    <n v="0.72666666666666668"/>
    <n v="379"/>
  </r>
  <r>
    <x v="0"/>
    <x v="3"/>
    <s v="some college"/>
    <s v="standard"/>
    <x v="0"/>
    <n v="67"/>
    <n v="76"/>
    <n v="75"/>
    <n v="218"/>
    <n v="72.666666666666671"/>
    <n v="0.72666666666666668"/>
    <n v="379"/>
  </r>
  <r>
    <x v="1"/>
    <x v="4"/>
    <s v="master's degree"/>
    <s v="standard"/>
    <x v="0"/>
    <n v="73"/>
    <n v="70"/>
    <n v="75"/>
    <n v="218"/>
    <n v="72.666666666666671"/>
    <n v="0.72666666666666668"/>
    <n v="379"/>
  </r>
  <r>
    <x v="0"/>
    <x v="0"/>
    <s v="some high school"/>
    <s v="standard"/>
    <x v="1"/>
    <n v="67"/>
    <n v="74"/>
    <n v="77"/>
    <n v="218"/>
    <n v="72.666666666666671"/>
    <n v="0.72666666666666668"/>
    <n v="379"/>
  </r>
  <r>
    <x v="0"/>
    <x v="1"/>
    <s v="high school"/>
    <s v="standard"/>
    <x v="0"/>
    <n v="74"/>
    <n v="72"/>
    <n v="72"/>
    <n v="218"/>
    <n v="72.666666666666671"/>
    <n v="0.72666666666666668"/>
    <n v="379"/>
  </r>
  <r>
    <x v="0"/>
    <x v="0"/>
    <s v="some college"/>
    <s v="standard"/>
    <x v="1"/>
    <n v="70"/>
    <n v="72"/>
    <n v="76"/>
    <n v="218"/>
    <n v="72.666666666666671"/>
    <n v="0.72666666666666668"/>
    <n v="379"/>
  </r>
  <r>
    <x v="0"/>
    <x v="0"/>
    <s v="associate's degree"/>
    <s v="standard"/>
    <x v="1"/>
    <n v="62"/>
    <n v="76"/>
    <n v="80"/>
    <n v="218"/>
    <n v="72.666666666666671"/>
    <n v="0.72666666666666668"/>
    <n v="379"/>
  </r>
  <r>
    <x v="0"/>
    <x v="1"/>
    <s v="high school"/>
    <s v="standard"/>
    <x v="0"/>
    <n v="65"/>
    <n v="81"/>
    <n v="73"/>
    <n v="219"/>
    <n v="73"/>
    <n v="0.73"/>
    <n v="367"/>
  </r>
  <r>
    <x v="1"/>
    <x v="2"/>
    <s v="master's degree"/>
    <s v="free/reduced"/>
    <x v="0"/>
    <n v="73"/>
    <n v="74"/>
    <n v="72"/>
    <n v="219"/>
    <n v="73"/>
    <n v="0.73"/>
    <n v="367"/>
  </r>
  <r>
    <x v="0"/>
    <x v="4"/>
    <s v="some high school"/>
    <s v="standard"/>
    <x v="0"/>
    <n v="76"/>
    <n v="72"/>
    <n v="71"/>
    <n v="219"/>
    <n v="73"/>
    <n v="0.73"/>
    <n v="367"/>
  </r>
  <r>
    <x v="1"/>
    <x v="2"/>
    <s v="high school"/>
    <s v="standard"/>
    <x v="1"/>
    <n v="72"/>
    <n v="73"/>
    <n v="74"/>
    <n v="219"/>
    <n v="73"/>
    <n v="0.73"/>
    <n v="367"/>
  </r>
  <r>
    <x v="0"/>
    <x v="0"/>
    <s v="bachelor's degree"/>
    <s v="standard"/>
    <x v="0"/>
    <n v="63"/>
    <n v="75"/>
    <n v="81"/>
    <n v="219"/>
    <n v="73"/>
    <n v="0.73"/>
    <n v="367"/>
  </r>
  <r>
    <x v="0"/>
    <x v="1"/>
    <s v="high school"/>
    <s v="standard"/>
    <x v="1"/>
    <n v="69"/>
    <n v="76"/>
    <n v="74"/>
    <n v="219"/>
    <n v="73"/>
    <n v="0.73"/>
    <n v="367"/>
  </r>
  <r>
    <x v="1"/>
    <x v="4"/>
    <s v="some college"/>
    <s v="standard"/>
    <x v="0"/>
    <n v="79"/>
    <n v="73"/>
    <n v="67"/>
    <n v="219"/>
    <n v="73"/>
    <n v="0.73"/>
    <n v="367"/>
  </r>
  <r>
    <x v="1"/>
    <x v="3"/>
    <s v="some college"/>
    <s v="standard"/>
    <x v="0"/>
    <n v="76"/>
    <n v="71"/>
    <n v="72"/>
    <n v="219"/>
    <n v="73"/>
    <n v="0.73"/>
    <n v="367"/>
  </r>
  <r>
    <x v="0"/>
    <x v="4"/>
    <s v="high school"/>
    <s v="standard"/>
    <x v="0"/>
    <n v="69"/>
    <n v="77"/>
    <n v="73"/>
    <n v="219"/>
    <n v="73"/>
    <n v="0.73"/>
    <n v="367"/>
  </r>
  <r>
    <x v="0"/>
    <x v="0"/>
    <s v="bachelor's degree"/>
    <s v="free/reduced"/>
    <x v="0"/>
    <n v="62"/>
    <n v="78"/>
    <n v="79"/>
    <n v="219"/>
    <n v="73"/>
    <n v="0.73"/>
    <n v="367"/>
  </r>
  <r>
    <x v="1"/>
    <x v="0"/>
    <s v="bachelor's degree"/>
    <s v="free/reduced"/>
    <x v="1"/>
    <n v="70"/>
    <n v="75"/>
    <n v="74"/>
    <n v="219"/>
    <n v="73"/>
    <n v="0.73"/>
    <n v="367"/>
  </r>
  <r>
    <x v="1"/>
    <x v="0"/>
    <s v="some high school"/>
    <s v="standard"/>
    <x v="1"/>
    <n v="78"/>
    <n v="72"/>
    <n v="69"/>
    <n v="219"/>
    <n v="73"/>
    <n v="0.73"/>
    <n v="367"/>
  </r>
  <r>
    <x v="1"/>
    <x v="2"/>
    <s v="some college"/>
    <s v="standard"/>
    <x v="1"/>
    <n v="78"/>
    <n v="72"/>
    <n v="70"/>
    <n v="220"/>
    <n v="73.333333333333329"/>
    <n v="0.73333333333333328"/>
    <n v="356"/>
  </r>
  <r>
    <x v="0"/>
    <x v="0"/>
    <s v="associate's degree"/>
    <s v="standard"/>
    <x v="0"/>
    <n v="69"/>
    <n v="80"/>
    <n v="71"/>
    <n v="220"/>
    <n v="73.333333333333329"/>
    <n v="0.73333333333333328"/>
    <n v="356"/>
  </r>
  <r>
    <x v="0"/>
    <x v="0"/>
    <s v="some high school"/>
    <s v="free/reduced"/>
    <x v="1"/>
    <n v="64"/>
    <n v="79"/>
    <n v="77"/>
    <n v="220"/>
    <n v="73.333333333333329"/>
    <n v="0.73333333333333328"/>
    <n v="356"/>
  </r>
  <r>
    <x v="1"/>
    <x v="1"/>
    <s v="associate's degree"/>
    <s v="standard"/>
    <x v="0"/>
    <n v="80"/>
    <n v="76"/>
    <n v="64"/>
    <n v="220"/>
    <n v="73.333333333333329"/>
    <n v="0.73333333333333328"/>
    <n v="356"/>
  </r>
  <r>
    <x v="1"/>
    <x v="4"/>
    <s v="some high school"/>
    <s v="standard"/>
    <x v="0"/>
    <n v="74"/>
    <n v="74"/>
    <n v="72"/>
    <n v="220"/>
    <n v="73.333333333333329"/>
    <n v="0.73333333333333328"/>
    <n v="356"/>
  </r>
  <r>
    <x v="1"/>
    <x v="4"/>
    <s v="associate's degree"/>
    <s v="standard"/>
    <x v="0"/>
    <n v="80"/>
    <n v="68"/>
    <n v="72"/>
    <n v="220"/>
    <n v="73.333333333333329"/>
    <n v="0.73333333333333328"/>
    <n v="356"/>
  </r>
  <r>
    <x v="1"/>
    <x v="4"/>
    <s v="some college"/>
    <s v="standard"/>
    <x v="0"/>
    <n v="76"/>
    <n v="71"/>
    <n v="73"/>
    <n v="220"/>
    <n v="73.333333333333329"/>
    <n v="0.73333333333333328"/>
    <n v="356"/>
  </r>
  <r>
    <x v="1"/>
    <x v="0"/>
    <s v="master's degree"/>
    <s v="standard"/>
    <x v="0"/>
    <n v="79"/>
    <n v="72"/>
    <n v="69"/>
    <n v="220"/>
    <n v="73.333333333333329"/>
    <n v="0.73333333333333328"/>
    <n v="356"/>
  </r>
  <r>
    <x v="1"/>
    <x v="0"/>
    <s v="some high school"/>
    <s v="free/reduced"/>
    <x v="0"/>
    <n v="79"/>
    <n v="76"/>
    <n v="65"/>
    <n v="220"/>
    <n v="73.333333333333329"/>
    <n v="0.73333333333333328"/>
    <n v="356"/>
  </r>
  <r>
    <x v="0"/>
    <x v="1"/>
    <s v="some high school"/>
    <s v="free/reduced"/>
    <x v="1"/>
    <n v="63"/>
    <n v="78"/>
    <n v="79"/>
    <n v="220"/>
    <n v="73.333333333333329"/>
    <n v="0.73333333333333328"/>
    <n v="356"/>
  </r>
  <r>
    <x v="0"/>
    <x v="3"/>
    <s v="some high school"/>
    <s v="free/reduced"/>
    <x v="0"/>
    <n v="74"/>
    <n v="74"/>
    <n v="72"/>
    <n v="220"/>
    <n v="73.333333333333329"/>
    <n v="0.73333333333333328"/>
    <n v="356"/>
  </r>
  <r>
    <x v="1"/>
    <x v="0"/>
    <s v="high school"/>
    <s v="standard"/>
    <x v="0"/>
    <n v="71"/>
    <n v="79"/>
    <n v="71"/>
    <n v="221"/>
    <n v="73.666666666666671"/>
    <n v="0.73666666666666669"/>
    <n v="351"/>
  </r>
  <r>
    <x v="1"/>
    <x v="3"/>
    <s v="high school"/>
    <s v="standard"/>
    <x v="0"/>
    <n v="80"/>
    <n v="76"/>
    <n v="65"/>
    <n v="221"/>
    <n v="73.666666666666671"/>
    <n v="0.73666666666666669"/>
    <n v="351"/>
  </r>
  <r>
    <x v="0"/>
    <x v="0"/>
    <s v="some college"/>
    <s v="standard"/>
    <x v="1"/>
    <n v="63"/>
    <n v="78"/>
    <n v="80"/>
    <n v="221"/>
    <n v="73.666666666666671"/>
    <n v="0.73666666666666669"/>
    <n v="351"/>
  </r>
  <r>
    <x v="0"/>
    <x v="1"/>
    <s v="bachelor's degree"/>
    <s v="standard"/>
    <x v="1"/>
    <n v="66"/>
    <n v="74"/>
    <n v="81"/>
    <n v="221"/>
    <n v="73.666666666666671"/>
    <n v="0.73666666666666669"/>
    <n v="351"/>
  </r>
  <r>
    <x v="0"/>
    <x v="0"/>
    <s v="bachelor's degree"/>
    <s v="free/reduced"/>
    <x v="1"/>
    <n v="66"/>
    <n v="74"/>
    <n v="81"/>
    <n v="221"/>
    <n v="73.666666666666671"/>
    <n v="0.73666666666666669"/>
    <n v="351"/>
  </r>
  <r>
    <x v="0"/>
    <x v="0"/>
    <s v="some high school"/>
    <s v="standard"/>
    <x v="0"/>
    <n v="69"/>
    <n v="75"/>
    <n v="78"/>
    <n v="222"/>
    <n v="74"/>
    <n v="0.74"/>
    <n v="345"/>
  </r>
  <r>
    <x v="0"/>
    <x v="4"/>
    <s v="some college"/>
    <s v="standard"/>
    <x v="0"/>
    <n v="77"/>
    <n v="68"/>
    <n v="77"/>
    <n v="222"/>
    <n v="74"/>
    <n v="0.74"/>
    <n v="345"/>
  </r>
  <r>
    <x v="0"/>
    <x v="4"/>
    <s v="some high school"/>
    <s v="standard"/>
    <x v="1"/>
    <n v="66"/>
    <n v="78"/>
    <n v="78"/>
    <n v="222"/>
    <n v="74"/>
    <n v="0.74"/>
    <n v="345"/>
  </r>
  <r>
    <x v="1"/>
    <x v="3"/>
    <s v="bachelor's degree"/>
    <s v="standard"/>
    <x v="1"/>
    <n v="85"/>
    <n v="66"/>
    <n v="71"/>
    <n v="222"/>
    <n v="74"/>
    <n v="0.74"/>
    <n v="345"/>
  </r>
  <r>
    <x v="1"/>
    <x v="4"/>
    <s v="bachelor's degree"/>
    <s v="standard"/>
    <x v="0"/>
    <n v="75"/>
    <n v="73"/>
    <n v="74"/>
    <n v="222"/>
    <n v="74"/>
    <n v="0.74"/>
    <n v="345"/>
  </r>
  <r>
    <x v="0"/>
    <x v="0"/>
    <s v="some college"/>
    <s v="standard"/>
    <x v="1"/>
    <n v="71"/>
    <n v="71"/>
    <n v="80"/>
    <n v="222"/>
    <n v="74"/>
    <n v="0.74"/>
    <n v="345"/>
  </r>
  <r>
    <x v="0"/>
    <x v="4"/>
    <s v="some college"/>
    <s v="free/reduced"/>
    <x v="0"/>
    <n v="65"/>
    <n v="81"/>
    <n v="77"/>
    <n v="223"/>
    <n v="74.333333333333329"/>
    <n v="0.74333333333333329"/>
    <n v="333"/>
  </r>
  <r>
    <x v="1"/>
    <x v="4"/>
    <s v="some high school"/>
    <s v="standard"/>
    <x v="1"/>
    <n v="74"/>
    <n v="71"/>
    <n v="78"/>
    <n v="223"/>
    <n v="74.333333333333329"/>
    <n v="0.74333333333333329"/>
    <n v="333"/>
  </r>
  <r>
    <x v="0"/>
    <x v="1"/>
    <s v="some college"/>
    <s v="standard"/>
    <x v="0"/>
    <n v="70"/>
    <n v="75"/>
    <n v="78"/>
    <n v="223"/>
    <n v="74.333333333333329"/>
    <n v="0.74333333333333329"/>
    <n v="333"/>
  </r>
  <r>
    <x v="0"/>
    <x v="4"/>
    <s v="some college"/>
    <s v="free/reduced"/>
    <x v="1"/>
    <n v="63"/>
    <n v="80"/>
    <n v="80"/>
    <n v="223"/>
    <n v="74.333333333333329"/>
    <n v="0.74333333333333329"/>
    <n v="333"/>
  </r>
  <r>
    <x v="0"/>
    <x v="4"/>
    <s v="some college"/>
    <s v="standard"/>
    <x v="0"/>
    <n v="69"/>
    <n v="77"/>
    <n v="77"/>
    <n v="223"/>
    <n v="74.333333333333329"/>
    <n v="0.74333333333333329"/>
    <n v="333"/>
  </r>
  <r>
    <x v="0"/>
    <x v="3"/>
    <s v="high school"/>
    <s v="standard"/>
    <x v="0"/>
    <n v="74"/>
    <n v="76"/>
    <n v="73"/>
    <n v="223"/>
    <n v="74.333333333333329"/>
    <n v="0.74333333333333329"/>
    <n v="333"/>
  </r>
  <r>
    <x v="0"/>
    <x v="4"/>
    <s v="associate's degree"/>
    <s v="standard"/>
    <x v="0"/>
    <n v="76"/>
    <n v="74"/>
    <n v="73"/>
    <n v="223"/>
    <n v="74.333333333333329"/>
    <n v="0.74333333333333329"/>
    <n v="333"/>
  </r>
  <r>
    <x v="0"/>
    <x v="0"/>
    <s v="some college"/>
    <s v="standard"/>
    <x v="0"/>
    <n v="69"/>
    <n v="78"/>
    <n v="76"/>
    <n v="223"/>
    <n v="74.333333333333329"/>
    <n v="0.74333333333333329"/>
    <n v="333"/>
  </r>
  <r>
    <x v="1"/>
    <x v="0"/>
    <s v="associate's degree"/>
    <s v="standard"/>
    <x v="1"/>
    <n v="73"/>
    <n v="78"/>
    <n v="72"/>
    <n v="223"/>
    <n v="74.333333333333329"/>
    <n v="0.74333333333333329"/>
    <n v="333"/>
  </r>
  <r>
    <x v="1"/>
    <x v="1"/>
    <s v="some college"/>
    <s v="standard"/>
    <x v="1"/>
    <n v="69"/>
    <n v="77"/>
    <n v="77"/>
    <n v="223"/>
    <n v="74.333333333333329"/>
    <n v="0.74333333333333329"/>
    <n v="333"/>
  </r>
  <r>
    <x v="0"/>
    <x v="0"/>
    <s v="some college"/>
    <s v="standard"/>
    <x v="1"/>
    <n v="64"/>
    <n v="82"/>
    <n v="77"/>
    <n v="223"/>
    <n v="74.333333333333329"/>
    <n v="0.74333333333333329"/>
    <n v="333"/>
  </r>
  <r>
    <x v="0"/>
    <x v="4"/>
    <s v="some college"/>
    <s v="standard"/>
    <x v="1"/>
    <n v="68"/>
    <n v="78"/>
    <n v="77"/>
    <n v="223"/>
    <n v="74.333333333333329"/>
    <n v="0.74333333333333329"/>
    <n v="333"/>
  </r>
  <r>
    <x v="0"/>
    <x v="4"/>
    <s v="bachelor's degree"/>
    <s v="standard"/>
    <x v="1"/>
    <n v="68"/>
    <n v="75"/>
    <n v="81"/>
    <n v="224"/>
    <n v="74.666666666666671"/>
    <n v="0.7466666666666667"/>
    <n v="325"/>
  </r>
  <r>
    <x v="0"/>
    <x v="2"/>
    <s v="some high school"/>
    <s v="standard"/>
    <x v="1"/>
    <n v="59"/>
    <n v="85"/>
    <n v="80"/>
    <n v="224"/>
    <n v="74.666666666666671"/>
    <n v="0.7466666666666667"/>
    <n v="325"/>
  </r>
  <r>
    <x v="0"/>
    <x v="1"/>
    <s v="high school"/>
    <s v="free/reduced"/>
    <x v="1"/>
    <n v="67"/>
    <n v="78"/>
    <n v="79"/>
    <n v="224"/>
    <n v="74.666666666666671"/>
    <n v="0.7466666666666667"/>
    <n v="325"/>
  </r>
  <r>
    <x v="0"/>
    <x v="2"/>
    <s v="high school"/>
    <s v="standard"/>
    <x v="1"/>
    <n v="68"/>
    <n v="80"/>
    <n v="76"/>
    <n v="224"/>
    <n v="74.666666666666671"/>
    <n v="0.7466666666666667"/>
    <n v="325"/>
  </r>
  <r>
    <x v="1"/>
    <x v="0"/>
    <s v="some college"/>
    <s v="free/reduced"/>
    <x v="0"/>
    <n v="74"/>
    <n v="77"/>
    <n v="73"/>
    <n v="224"/>
    <n v="74.666666666666671"/>
    <n v="0.7466666666666667"/>
    <n v="325"/>
  </r>
  <r>
    <x v="0"/>
    <x v="4"/>
    <s v="high school"/>
    <s v="standard"/>
    <x v="1"/>
    <n v="69"/>
    <n v="77"/>
    <n v="78"/>
    <n v="224"/>
    <n v="74.666666666666671"/>
    <n v="0.7466666666666667"/>
    <n v="325"/>
  </r>
  <r>
    <x v="1"/>
    <x v="4"/>
    <s v="associate's degree"/>
    <s v="standard"/>
    <x v="0"/>
    <n v="80"/>
    <n v="75"/>
    <n v="69"/>
    <n v="224"/>
    <n v="74.666666666666671"/>
    <n v="0.7466666666666667"/>
    <n v="325"/>
  </r>
  <r>
    <x v="1"/>
    <x v="3"/>
    <s v="associate's degree"/>
    <s v="free/reduced"/>
    <x v="1"/>
    <n v="78"/>
    <n v="74"/>
    <n v="72"/>
    <n v="224"/>
    <n v="74.666666666666671"/>
    <n v="0.7466666666666667"/>
    <n v="325"/>
  </r>
  <r>
    <x v="1"/>
    <x v="4"/>
    <s v="bachelor's degree"/>
    <s v="free/reduced"/>
    <x v="1"/>
    <n v="74"/>
    <n v="71"/>
    <n v="80"/>
    <n v="225"/>
    <n v="75"/>
    <n v="0.75"/>
    <n v="314"/>
  </r>
  <r>
    <x v="1"/>
    <x v="3"/>
    <s v="bachelor's degree"/>
    <s v="free/reduced"/>
    <x v="1"/>
    <n v="79"/>
    <n v="74"/>
    <n v="72"/>
    <n v="225"/>
    <n v="75"/>
    <n v="0.75"/>
    <n v="314"/>
  </r>
  <r>
    <x v="0"/>
    <x v="0"/>
    <s v="associate's degree"/>
    <s v="standard"/>
    <x v="1"/>
    <n v="71"/>
    <n v="77"/>
    <n v="77"/>
    <n v="225"/>
    <n v="75"/>
    <n v="0.75"/>
    <n v="314"/>
  </r>
  <r>
    <x v="0"/>
    <x v="1"/>
    <s v="associate's degree"/>
    <s v="free/reduced"/>
    <x v="1"/>
    <n v="68"/>
    <n v="77"/>
    <n v="80"/>
    <n v="225"/>
    <n v="75"/>
    <n v="0.75"/>
    <n v="314"/>
  </r>
  <r>
    <x v="1"/>
    <x v="4"/>
    <s v="associate's degree"/>
    <s v="standard"/>
    <x v="0"/>
    <n v="81"/>
    <n v="71"/>
    <n v="73"/>
    <n v="225"/>
    <n v="75"/>
    <n v="0.75"/>
    <n v="314"/>
  </r>
  <r>
    <x v="1"/>
    <x v="4"/>
    <s v="bachelor's degree"/>
    <s v="standard"/>
    <x v="0"/>
    <n v="80"/>
    <n v="73"/>
    <n v="72"/>
    <n v="225"/>
    <n v="75"/>
    <n v="0.75"/>
    <n v="314"/>
  </r>
  <r>
    <x v="1"/>
    <x v="4"/>
    <s v="associate's degree"/>
    <s v="standard"/>
    <x v="0"/>
    <n v="72"/>
    <n v="79"/>
    <n v="74"/>
    <n v="225"/>
    <n v="75"/>
    <n v="0.75"/>
    <n v="314"/>
  </r>
  <r>
    <x v="0"/>
    <x v="0"/>
    <s v="bachelor's degree"/>
    <s v="standard"/>
    <x v="0"/>
    <n v="65"/>
    <n v="79"/>
    <n v="81"/>
    <n v="225"/>
    <n v="75"/>
    <n v="0.75"/>
    <n v="314"/>
  </r>
  <r>
    <x v="0"/>
    <x v="4"/>
    <s v="some high school"/>
    <s v="standard"/>
    <x v="1"/>
    <n v="65"/>
    <n v="78"/>
    <n v="82"/>
    <n v="225"/>
    <n v="75"/>
    <n v="0.75"/>
    <n v="314"/>
  </r>
  <r>
    <x v="0"/>
    <x v="0"/>
    <s v="master's degree"/>
    <s v="standard"/>
    <x v="0"/>
    <n v="73"/>
    <n v="78"/>
    <n v="74"/>
    <n v="225"/>
    <n v="75"/>
    <n v="0.75"/>
    <n v="314"/>
  </r>
  <r>
    <x v="0"/>
    <x v="1"/>
    <s v="some high school"/>
    <s v="standard"/>
    <x v="1"/>
    <n v="65"/>
    <n v="82"/>
    <n v="78"/>
    <n v="225"/>
    <n v="75"/>
    <n v="0.75"/>
    <n v="314"/>
  </r>
  <r>
    <x v="0"/>
    <x v="4"/>
    <s v="some college"/>
    <s v="free/reduced"/>
    <x v="1"/>
    <n v="70"/>
    <n v="78"/>
    <n v="78"/>
    <n v="226"/>
    <n v="75.333333333333329"/>
    <n v="0.7533333333333333"/>
    <n v="307"/>
  </r>
  <r>
    <x v="1"/>
    <x v="3"/>
    <s v="high school"/>
    <s v="standard"/>
    <x v="0"/>
    <n v="84"/>
    <n v="73"/>
    <n v="69"/>
    <n v="226"/>
    <n v="75.333333333333329"/>
    <n v="0.7533333333333333"/>
    <n v="307"/>
  </r>
  <r>
    <x v="1"/>
    <x v="1"/>
    <s v="associate's degree"/>
    <s v="standard"/>
    <x v="0"/>
    <n v="81"/>
    <n v="73"/>
    <n v="72"/>
    <n v="226"/>
    <n v="75.333333333333329"/>
    <n v="0.7533333333333333"/>
    <n v="307"/>
  </r>
  <r>
    <x v="0"/>
    <x v="2"/>
    <s v="associate's degree"/>
    <s v="free/reduced"/>
    <x v="0"/>
    <n v="65"/>
    <n v="85"/>
    <n v="76"/>
    <n v="226"/>
    <n v="75.333333333333329"/>
    <n v="0.7533333333333333"/>
    <n v="307"/>
  </r>
  <r>
    <x v="0"/>
    <x v="3"/>
    <s v="high school"/>
    <s v="standard"/>
    <x v="0"/>
    <n v="74"/>
    <n v="81"/>
    <n v="71"/>
    <n v="226"/>
    <n v="75.333333333333329"/>
    <n v="0.7533333333333333"/>
    <n v="307"/>
  </r>
  <r>
    <x v="0"/>
    <x v="0"/>
    <s v="high school"/>
    <s v="standard"/>
    <x v="0"/>
    <n v="76"/>
    <n v="76"/>
    <n v="74"/>
    <n v="226"/>
    <n v="75.333333333333329"/>
    <n v="0.7533333333333333"/>
    <n v="307"/>
  </r>
  <r>
    <x v="1"/>
    <x v="3"/>
    <s v="some college"/>
    <s v="standard"/>
    <x v="1"/>
    <n v="81"/>
    <n v="74"/>
    <n v="71"/>
    <n v="226"/>
    <n v="75.333333333333329"/>
    <n v="0.7533333333333333"/>
    <n v="307"/>
  </r>
  <r>
    <x v="0"/>
    <x v="0"/>
    <s v="master's degree"/>
    <s v="free/reduced"/>
    <x v="1"/>
    <n v="65"/>
    <n v="81"/>
    <n v="81"/>
    <n v="227"/>
    <n v="75.666666666666671"/>
    <n v="0.75666666666666671"/>
    <n v="297"/>
  </r>
  <r>
    <x v="0"/>
    <x v="0"/>
    <s v="high school"/>
    <s v="standard"/>
    <x v="0"/>
    <n v="72"/>
    <n v="80"/>
    <n v="75"/>
    <n v="227"/>
    <n v="75.666666666666671"/>
    <n v="0.75666666666666671"/>
    <n v="297"/>
  </r>
  <r>
    <x v="0"/>
    <x v="0"/>
    <s v="some college"/>
    <s v="standard"/>
    <x v="1"/>
    <n v="67"/>
    <n v="81"/>
    <n v="79"/>
    <n v="227"/>
    <n v="75.666666666666671"/>
    <n v="0.75666666666666671"/>
    <n v="297"/>
  </r>
  <r>
    <x v="0"/>
    <x v="1"/>
    <s v="bachelor's degree"/>
    <s v="standard"/>
    <x v="1"/>
    <n v="65"/>
    <n v="81"/>
    <n v="81"/>
    <n v="227"/>
    <n v="75.666666666666671"/>
    <n v="0.75666666666666671"/>
    <n v="297"/>
  </r>
  <r>
    <x v="0"/>
    <x v="3"/>
    <s v="some college"/>
    <s v="standard"/>
    <x v="1"/>
    <n v="73"/>
    <n v="78"/>
    <n v="76"/>
    <n v="227"/>
    <n v="75.666666666666671"/>
    <n v="0.75666666666666671"/>
    <n v="297"/>
  </r>
  <r>
    <x v="0"/>
    <x v="3"/>
    <s v="associate's degree"/>
    <s v="free/reduced"/>
    <x v="0"/>
    <n v="73"/>
    <n v="76"/>
    <n v="78"/>
    <n v="227"/>
    <n v="75.666666666666671"/>
    <n v="0.75666666666666671"/>
    <n v="297"/>
  </r>
  <r>
    <x v="0"/>
    <x v="4"/>
    <s v="associate's degree"/>
    <s v="standard"/>
    <x v="0"/>
    <n v="77"/>
    <n v="77"/>
    <n v="73"/>
    <n v="227"/>
    <n v="75.666666666666671"/>
    <n v="0.75666666666666671"/>
    <n v="297"/>
  </r>
  <r>
    <x v="0"/>
    <x v="0"/>
    <s v="some college"/>
    <s v="standard"/>
    <x v="0"/>
    <n v="73"/>
    <n v="76"/>
    <n v="78"/>
    <n v="227"/>
    <n v="75.666666666666671"/>
    <n v="0.75666666666666671"/>
    <n v="297"/>
  </r>
  <r>
    <x v="1"/>
    <x v="1"/>
    <s v="some college"/>
    <s v="free/reduced"/>
    <x v="1"/>
    <n v="74"/>
    <n v="77"/>
    <n v="76"/>
    <n v="227"/>
    <n v="75.666666666666671"/>
    <n v="0.75666666666666671"/>
    <n v="297"/>
  </r>
  <r>
    <x v="1"/>
    <x v="0"/>
    <s v="high school"/>
    <s v="standard"/>
    <x v="0"/>
    <n v="75"/>
    <n v="81"/>
    <n v="71"/>
    <n v="227"/>
    <n v="75.666666666666671"/>
    <n v="0.75666666666666671"/>
    <n v="297"/>
  </r>
  <r>
    <x v="1"/>
    <x v="4"/>
    <s v="bachelor's degree"/>
    <s v="free/reduced"/>
    <x v="1"/>
    <n v="74"/>
    <n v="79"/>
    <n v="75"/>
    <n v="228"/>
    <n v="76"/>
    <n v="0.76"/>
    <n v="288"/>
  </r>
  <r>
    <x v="0"/>
    <x v="4"/>
    <s v="some college"/>
    <s v="standard"/>
    <x v="1"/>
    <n v="74"/>
    <n v="75"/>
    <n v="79"/>
    <n v="228"/>
    <n v="76"/>
    <n v="0.76"/>
    <n v="288"/>
  </r>
  <r>
    <x v="0"/>
    <x v="4"/>
    <s v="associate's degree"/>
    <s v="standard"/>
    <x v="1"/>
    <n v="73"/>
    <n v="75"/>
    <n v="80"/>
    <n v="228"/>
    <n v="76"/>
    <n v="0.76"/>
    <n v="288"/>
  </r>
  <r>
    <x v="0"/>
    <x v="4"/>
    <s v="some high school"/>
    <s v="standard"/>
    <x v="0"/>
    <n v="65"/>
    <n v="82"/>
    <n v="81"/>
    <n v="228"/>
    <n v="76"/>
    <n v="0.76"/>
    <n v="288"/>
  </r>
  <r>
    <x v="0"/>
    <x v="1"/>
    <s v="high school"/>
    <s v="free/reduced"/>
    <x v="1"/>
    <n v="67"/>
    <n v="80"/>
    <n v="81"/>
    <n v="228"/>
    <n v="76"/>
    <n v="0.76"/>
    <n v="288"/>
  </r>
  <r>
    <x v="0"/>
    <x v="0"/>
    <s v="some high school"/>
    <s v="standard"/>
    <x v="1"/>
    <n v="70"/>
    <n v="82"/>
    <n v="76"/>
    <n v="228"/>
    <n v="76"/>
    <n v="0.76"/>
    <n v="288"/>
  </r>
  <r>
    <x v="1"/>
    <x v="3"/>
    <s v="some college"/>
    <s v="standard"/>
    <x v="1"/>
    <n v="85"/>
    <n v="75"/>
    <n v="68"/>
    <n v="228"/>
    <n v="76"/>
    <n v="0.76"/>
    <n v="288"/>
  </r>
  <r>
    <x v="1"/>
    <x v="4"/>
    <s v="associate's degree"/>
    <s v="free/reduced"/>
    <x v="0"/>
    <n v="77"/>
    <n v="78"/>
    <n v="73"/>
    <n v="228"/>
    <n v="76"/>
    <n v="0.76"/>
    <n v="288"/>
  </r>
  <r>
    <x v="0"/>
    <x v="3"/>
    <s v="some high school"/>
    <s v="free/reduced"/>
    <x v="0"/>
    <n v="72"/>
    <n v="79"/>
    <n v="77"/>
    <n v="228"/>
    <n v="76"/>
    <n v="0.76"/>
    <n v="288"/>
  </r>
  <r>
    <x v="1"/>
    <x v="0"/>
    <s v="some college"/>
    <s v="standard"/>
    <x v="0"/>
    <n v="76"/>
    <n v="78"/>
    <n v="75"/>
    <n v="229"/>
    <n v="76.333333333333329"/>
    <n v="0.76333333333333331"/>
    <n v="282"/>
  </r>
  <r>
    <x v="0"/>
    <x v="1"/>
    <s v="high school"/>
    <s v="standard"/>
    <x v="1"/>
    <n v="68"/>
    <n v="83"/>
    <n v="78"/>
    <n v="229"/>
    <n v="76.333333333333329"/>
    <n v="0.76333333333333331"/>
    <n v="282"/>
  </r>
  <r>
    <x v="1"/>
    <x v="4"/>
    <s v="some high school"/>
    <s v="standard"/>
    <x v="0"/>
    <n v="86"/>
    <n v="73"/>
    <n v="70"/>
    <n v="229"/>
    <n v="76.333333333333329"/>
    <n v="0.76333333333333331"/>
    <n v="282"/>
  </r>
  <r>
    <x v="0"/>
    <x v="1"/>
    <s v="associate's degree"/>
    <s v="standard"/>
    <x v="0"/>
    <n v="73"/>
    <n v="76"/>
    <n v="80"/>
    <n v="229"/>
    <n v="76.333333333333329"/>
    <n v="0.76333333333333331"/>
    <n v="282"/>
  </r>
  <r>
    <x v="0"/>
    <x v="4"/>
    <s v="some college"/>
    <s v="standard"/>
    <x v="1"/>
    <n v="69"/>
    <n v="79"/>
    <n v="81"/>
    <n v="229"/>
    <n v="76.333333333333329"/>
    <n v="0.76333333333333331"/>
    <n v="282"/>
  </r>
  <r>
    <x v="1"/>
    <x v="0"/>
    <s v="some high school"/>
    <s v="standard"/>
    <x v="1"/>
    <n v="76"/>
    <n v="80"/>
    <n v="73"/>
    <n v="229"/>
    <n v="76.333333333333329"/>
    <n v="0.76333333333333331"/>
    <n v="282"/>
  </r>
  <r>
    <x v="1"/>
    <x v="3"/>
    <s v="some high school"/>
    <s v="standard"/>
    <x v="1"/>
    <n v="77"/>
    <n v="76"/>
    <n v="77"/>
    <n v="230"/>
    <n v="76.666666666666671"/>
    <n v="0.76666666666666672"/>
    <n v="277"/>
  </r>
  <r>
    <x v="0"/>
    <x v="0"/>
    <s v="high school"/>
    <s v="free/reduced"/>
    <x v="1"/>
    <n v="67"/>
    <n v="79"/>
    <n v="84"/>
    <n v="230"/>
    <n v="76.666666666666671"/>
    <n v="0.76666666666666672"/>
    <n v="277"/>
  </r>
  <r>
    <x v="0"/>
    <x v="4"/>
    <s v="bachelor's degree"/>
    <s v="standard"/>
    <x v="1"/>
    <n v="71"/>
    <n v="76"/>
    <n v="83"/>
    <n v="230"/>
    <n v="76.666666666666671"/>
    <n v="0.76666666666666672"/>
    <n v="277"/>
  </r>
  <r>
    <x v="1"/>
    <x v="4"/>
    <s v="associate's degree"/>
    <s v="standard"/>
    <x v="1"/>
    <n v="81"/>
    <n v="72"/>
    <n v="77"/>
    <n v="230"/>
    <n v="76.666666666666671"/>
    <n v="0.76666666666666672"/>
    <n v="277"/>
  </r>
  <r>
    <x v="1"/>
    <x v="2"/>
    <s v="some college"/>
    <s v="free/reduced"/>
    <x v="0"/>
    <n v="75"/>
    <n v="81"/>
    <n v="74"/>
    <n v="230"/>
    <n v="76.666666666666671"/>
    <n v="0.76666666666666672"/>
    <n v="277"/>
  </r>
  <r>
    <x v="1"/>
    <x v="3"/>
    <s v="some college"/>
    <s v="free/reduced"/>
    <x v="1"/>
    <n v="87"/>
    <n v="74"/>
    <n v="70"/>
    <n v="231"/>
    <n v="77"/>
    <n v="0.77"/>
    <n v="269"/>
  </r>
  <r>
    <x v="0"/>
    <x v="1"/>
    <s v="some college"/>
    <s v="free/reduced"/>
    <x v="0"/>
    <n v="74"/>
    <n v="81"/>
    <n v="76"/>
    <n v="231"/>
    <n v="77"/>
    <n v="0.77"/>
    <n v="269"/>
  </r>
  <r>
    <x v="0"/>
    <x v="0"/>
    <s v="some high school"/>
    <s v="free/reduced"/>
    <x v="0"/>
    <n v="65"/>
    <n v="86"/>
    <n v="80"/>
    <n v="231"/>
    <n v="77"/>
    <n v="0.77"/>
    <n v="269"/>
  </r>
  <r>
    <x v="0"/>
    <x v="2"/>
    <s v="some high school"/>
    <s v="standard"/>
    <x v="0"/>
    <n v="71"/>
    <n v="83"/>
    <n v="77"/>
    <n v="231"/>
    <n v="77"/>
    <n v="0.77"/>
    <n v="269"/>
  </r>
  <r>
    <x v="1"/>
    <x v="0"/>
    <s v="master's degree"/>
    <s v="free/reduced"/>
    <x v="0"/>
    <n v="79"/>
    <n v="81"/>
    <n v="71"/>
    <n v="231"/>
    <n v="77"/>
    <n v="0.77"/>
    <n v="269"/>
  </r>
  <r>
    <x v="0"/>
    <x v="1"/>
    <s v="some high school"/>
    <s v="standard"/>
    <x v="0"/>
    <n v="73"/>
    <n v="79"/>
    <n v="79"/>
    <n v="231"/>
    <n v="77"/>
    <n v="0.77"/>
    <n v="269"/>
  </r>
  <r>
    <x v="1"/>
    <x v="0"/>
    <s v="master's degree"/>
    <s v="free/reduced"/>
    <x v="1"/>
    <n v="79"/>
    <n v="77"/>
    <n v="75"/>
    <n v="231"/>
    <n v="77"/>
    <n v="0.77"/>
    <n v="269"/>
  </r>
  <r>
    <x v="0"/>
    <x v="0"/>
    <s v="some high school"/>
    <s v="standard"/>
    <x v="0"/>
    <n v="74"/>
    <n v="75"/>
    <n v="82"/>
    <n v="231"/>
    <n v="77"/>
    <n v="0.77"/>
    <n v="269"/>
  </r>
  <r>
    <x v="0"/>
    <x v="1"/>
    <s v="associate's degree"/>
    <s v="standard"/>
    <x v="0"/>
    <n v="71"/>
    <n v="83"/>
    <n v="78"/>
    <n v="232"/>
    <n v="77.333333333333329"/>
    <n v="0.77333333333333332"/>
    <n v="255"/>
  </r>
  <r>
    <x v="1"/>
    <x v="4"/>
    <s v="associate's degree"/>
    <s v="standard"/>
    <x v="0"/>
    <n v="80"/>
    <n v="75"/>
    <n v="77"/>
    <n v="232"/>
    <n v="77.333333333333329"/>
    <n v="0.77333333333333332"/>
    <n v="255"/>
  </r>
  <r>
    <x v="1"/>
    <x v="0"/>
    <s v="associate's degree"/>
    <s v="standard"/>
    <x v="0"/>
    <n v="85"/>
    <n v="76"/>
    <n v="71"/>
    <n v="232"/>
    <n v="77.333333333333329"/>
    <n v="0.77333333333333332"/>
    <n v="255"/>
  </r>
  <r>
    <x v="1"/>
    <x v="4"/>
    <s v="master's degree"/>
    <s v="standard"/>
    <x v="0"/>
    <n v="80"/>
    <n v="80"/>
    <n v="72"/>
    <n v="232"/>
    <n v="77.333333333333329"/>
    <n v="0.77333333333333332"/>
    <n v="255"/>
  </r>
  <r>
    <x v="1"/>
    <x v="0"/>
    <s v="associate's degree"/>
    <s v="standard"/>
    <x v="1"/>
    <n v="78"/>
    <n v="77"/>
    <n v="77"/>
    <n v="232"/>
    <n v="77.333333333333329"/>
    <n v="0.77333333333333332"/>
    <n v="255"/>
  </r>
  <r>
    <x v="0"/>
    <x v="0"/>
    <s v="associate's degree"/>
    <s v="standard"/>
    <x v="1"/>
    <n v="67"/>
    <n v="84"/>
    <n v="81"/>
    <n v="232"/>
    <n v="77.333333333333329"/>
    <n v="0.77333333333333332"/>
    <n v="255"/>
  </r>
  <r>
    <x v="0"/>
    <x v="0"/>
    <s v="associate's degree"/>
    <s v="standard"/>
    <x v="1"/>
    <n v="74"/>
    <n v="75"/>
    <n v="83"/>
    <n v="232"/>
    <n v="77.333333333333329"/>
    <n v="0.77333333333333332"/>
    <n v="255"/>
  </r>
  <r>
    <x v="0"/>
    <x v="0"/>
    <s v="some college"/>
    <s v="standard"/>
    <x v="0"/>
    <n v="71"/>
    <n v="81"/>
    <n v="80"/>
    <n v="232"/>
    <n v="77.333333333333329"/>
    <n v="0.77333333333333332"/>
    <n v="255"/>
  </r>
  <r>
    <x v="1"/>
    <x v="3"/>
    <s v="some college"/>
    <s v="standard"/>
    <x v="0"/>
    <n v="84"/>
    <n v="77"/>
    <n v="71"/>
    <n v="232"/>
    <n v="77.333333333333329"/>
    <n v="0.77333333333333332"/>
    <n v="255"/>
  </r>
  <r>
    <x v="0"/>
    <x v="1"/>
    <s v="associate's degree"/>
    <s v="standard"/>
    <x v="0"/>
    <n v="73"/>
    <n v="83"/>
    <n v="76"/>
    <n v="232"/>
    <n v="77.333333333333329"/>
    <n v="0.77333333333333332"/>
    <n v="255"/>
  </r>
  <r>
    <x v="0"/>
    <x v="0"/>
    <s v="bachelor's degree"/>
    <s v="free/reduced"/>
    <x v="1"/>
    <n v="66"/>
    <n v="83"/>
    <n v="83"/>
    <n v="232"/>
    <n v="77.333333333333329"/>
    <n v="0.77333333333333332"/>
    <n v="255"/>
  </r>
  <r>
    <x v="0"/>
    <x v="1"/>
    <s v="some high school"/>
    <s v="free/reduced"/>
    <x v="0"/>
    <n v="72"/>
    <n v="81"/>
    <n v="79"/>
    <n v="232"/>
    <n v="77.333333333333329"/>
    <n v="0.77333333333333332"/>
    <n v="255"/>
  </r>
  <r>
    <x v="1"/>
    <x v="0"/>
    <s v="associate's degree"/>
    <s v="free/reduced"/>
    <x v="0"/>
    <n v="87"/>
    <n v="73"/>
    <n v="72"/>
    <n v="232"/>
    <n v="77.333333333333329"/>
    <n v="0.77333333333333332"/>
    <n v="255"/>
  </r>
  <r>
    <x v="1"/>
    <x v="3"/>
    <s v="some high school"/>
    <s v="standard"/>
    <x v="1"/>
    <n v="81"/>
    <n v="75"/>
    <n v="76"/>
    <n v="232"/>
    <n v="77.333333333333329"/>
    <n v="0.77333333333333332"/>
    <n v="255"/>
  </r>
  <r>
    <x v="0"/>
    <x v="1"/>
    <s v="bachelor's degree"/>
    <s v="free/reduced"/>
    <x v="0"/>
    <n v="78"/>
    <n v="79"/>
    <n v="76"/>
    <n v="233"/>
    <n v="77.666666666666671"/>
    <n v="0.77666666666666662"/>
    <n v="250"/>
  </r>
  <r>
    <x v="1"/>
    <x v="0"/>
    <s v="associate's degree"/>
    <s v="standard"/>
    <x v="0"/>
    <n v="83"/>
    <n v="72"/>
    <n v="78"/>
    <n v="233"/>
    <n v="77.666666666666671"/>
    <n v="0.77666666666666662"/>
    <n v="250"/>
  </r>
  <r>
    <x v="0"/>
    <x v="3"/>
    <s v="high school"/>
    <s v="standard"/>
    <x v="1"/>
    <n v="74"/>
    <n v="79"/>
    <n v="80"/>
    <n v="233"/>
    <n v="77.666666666666671"/>
    <n v="0.77666666666666662"/>
    <n v="250"/>
  </r>
  <r>
    <x v="0"/>
    <x v="0"/>
    <s v="associate's degree"/>
    <s v="standard"/>
    <x v="1"/>
    <n v="65"/>
    <n v="84"/>
    <n v="84"/>
    <n v="233"/>
    <n v="77.666666666666671"/>
    <n v="0.77666666666666662"/>
    <n v="250"/>
  </r>
  <r>
    <x v="0"/>
    <x v="2"/>
    <s v="some college"/>
    <s v="standard"/>
    <x v="1"/>
    <n v="72"/>
    <n v="79"/>
    <n v="82"/>
    <n v="233"/>
    <n v="77.666666666666671"/>
    <n v="0.77666666666666662"/>
    <n v="250"/>
  </r>
  <r>
    <x v="0"/>
    <x v="1"/>
    <s v="associate's degree"/>
    <s v="standard"/>
    <x v="1"/>
    <n v="61"/>
    <n v="86"/>
    <n v="87"/>
    <n v="234"/>
    <n v="78"/>
    <n v="0.78"/>
    <n v="240"/>
  </r>
  <r>
    <x v="1"/>
    <x v="1"/>
    <s v="associate's degree"/>
    <s v="free/reduced"/>
    <x v="1"/>
    <n v="82"/>
    <n v="78"/>
    <n v="74"/>
    <n v="234"/>
    <n v="78"/>
    <n v="0.78"/>
    <n v="240"/>
  </r>
  <r>
    <x v="1"/>
    <x v="0"/>
    <s v="bachelor's degree"/>
    <s v="standard"/>
    <x v="0"/>
    <n v="83"/>
    <n v="78"/>
    <n v="73"/>
    <n v="234"/>
    <n v="78"/>
    <n v="0.78"/>
    <n v="240"/>
  </r>
  <r>
    <x v="1"/>
    <x v="0"/>
    <s v="associate's degree"/>
    <s v="standard"/>
    <x v="1"/>
    <n v="82"/>
    <n v="75"/>
    <n v="77"/>
    <n v="234"/>
    <n v="78"/>
    <n v="0.78"/>
    <n v="240"/>
  </r>
  <r>
    <x v="1"/>
    <x v="2"/>
    <s v="some high school"/>
    <s v="free/reduced"/>
    <x v="0"/>
    <n v="79"/>
    <n v="82"/>
    <n v="73"/>
    <n v="234"/>
    <n v="78"/>
    <n v="0.78"/>
    <n v="240"/>
  </r>
  <r>
    <x v="0"/>
    <x v="0"/>
    <s v="some college"/>
    <s v="free/reduced"/>
    <x v="1"/>
    <n v="64"/>
    <n v="85"/>
    <n v="85"/>
    <n v="234"/>
    <n v="78"/>
    <n v="0.78"/>
    <n v="240"/>
  </r>
  <r>
    <x v="1"/>
    <x v="0"/>
    <s v="master's degree"/>
    <s v="standard"/>
    <x v="0"/>
    <n v="79"/>
    <n v="78"/>
    <n v="77"/>
    <n v="234"/>
    <n v="78"/>
    <n v="0.78"/>
    <n v="240"/>
  </r>
  <r>
    <x v="0"/>
    <x v="3"/>
    <s v="some college"/>
    <s v="standard"/>
    <x v="0"/>
    <n v="76"/>
    <n v="78"/>
    <n v="80"/>
    <n v="234"/>
    <n v="78"/>
    <n v="0.78"/>
    <n v="240"/>
  </r>
  <r>
    <x v="1"/>
    <x v="4"/>
    <s v="associate's degree"/>
    <s v="free/reduced"/>
    <x v="0"/>
    <n v="81"/>
    <n v="75"/>
    <n v="78"/>
    <n v="234"/>
    <n v="78"/>
    <n v="0.78"/>
    <n v="240"/>
  </r>
  <r>
    <x v="1"/>
    <x v="0"/>
    <s v="high school"/>
    <s v="standard"/>
    <x v="0"/>
    <n v="90"/>
    <n v="75"/>
    <n v="69"/>
    <n v="234"/>
    <n v="78"/>
    <n v="0.78"/>
    <n v="240"/>
  </r>
  <r>
    <x v="0"/>
    <x v="0"/>
    <s v="some college"/>
    <s v="standard"/>
    <x v="0"/>
    <n v="73"/>
    <n v="80"/>
    <n v="82"/>
    <n v="235"/>
    <n v="78.333333333333329"/>
    <n v="0.78333333333333333"/>
    <n v="231"/>
  </r>
  <r>
    <x v="1"/>
    <x v="0"/>
    <s v="high school"/>
    <s v="standard"/>
    <x v="0"/>
    <n v="84"/>
    <n v="77"/>
    <n v="74"/>
    <n v="235"/>
    <n v="78.333333333333329"/>
    <n v="0.78333333333333333"/>
    <n v="231"/>
  </r>
  <r>
    <x v="1"/>
    <x v="4"/>
    <s v="high school"/>
    <s v="free/reduced"/>
    <x v="1"/>
    <n v="78"/>
    <n v="77"/>
    <n v="80"/>
    <n v="235"/>
    <n v="78.333333333333329"/>
    <n v="0.78333333333333333"/>
    <n v="231"/>
  </r>
  <r>
    <x v="0"/>
    <x v="4"/>
    <s v="master's degree"/>
    <s v="standard"/>
    <x v="0"/>
    <n v="74"/>
    <n v="79"/>
    <n v="82"/>
    <n v="235"/>
    <n v="78.333333333333329"/>
    <n v="0.78333333333333333"/>
    <n v="231"/>
  </r>
  <r>
    <x v="0"/>
    <x v="3"/>
    <s v="associate's degree"/>
    <s v="free/reduced"/>
    <x v="0"/>
    <n v="70"/>
    <n v="84"/>
    <n v="81"/>
    <n v="235"/>
    <n v="78.333333333333329"/>
    <n v="0.78333333333333333"/>
    <n v="231"/>
  </r>
  <r>
    <x v="0"/>
    <x v="0"/>
    <s v="high school"/>
    <s v="standard"/>
    <x v="0"/>
    <n v="72"/>
    <n v="80"/>
    <n v="83"/>
    <n v="235"/>
    <n v="78.333333333333329"/>
    <n v="0.78333333333333333"/>
    <n v="231"/>
  </r>
  <r>
    <x v="0"/>
    <x v="4"/>
    <s v="some high school"/>
    <s v="free/reduced"/>
    <x v="0"/>
    <n v="67"/>
    <n v="84"/>
    <n v="84"/>
    <n v="235"/>
    <n v="78.333333333333329"/>
    <n v="0.78333333333333333"/>
    <n v="231"/>
  </r>
  <r>
    <x v="0"/>
    <x v="2"/>
    <s v="some college"/>
    <s v="standard"/>
    <x v="0"/>
    <n v="69"/>
    <n v="84"/>
    <n v="82"/>
    <n v="235"/>
    <n v="78.333333333333329"/>
    <n v="0.78333333333333333"/>
    <n v="231"/>
  </r>
  <r>
    <x v="0"/>
    <x v="4"/>
    <s v="some college"/>
    <s v="standard"/>
    <x v="1"/>
    <n v="75"/>
    <n v="77"/>
    <n v="83"/>
    <n v="235"/>
    <n v="78.333333333333329"/>
    <n v="0.78333333333333333"/>
    <n v="231"/>
  </r>
  <r>
    <x v="1"/>
    <x v="3"/>
    <s v="some college"/>
    <s v="standard"/>
    <x v="0"/>
    <n v="83"/>
    <n v="80"/>
    <n v="73"/>
    <n v="236"/>
    <n v="78.666666666666671"/>
    <n v="0.78666666666666663"/>
    <n v="222"/>
  </r>
  <r>
    <x v="0"/>
    <x v="1"/>
    <s v="bachelor's degree"/>
    <s v="standard"/>
    <x v="0"/>
    <n v="67"/>
    <n v="86"/>
    <n v="83"/>
    <n v="236"/>
    <n v="78.666666666666671"/>
    <n v="0.78666666666666663"/>
    <n v="222"/>
  </r>
  <r>
    <x v="1"/>
    <x v="0"/>
    <s v="some college"/>
    <s v="standard"/>
    <x v="1"/>
    <n v="79"/>
    <n v="79"/>
    <n v="78"/>
    <n v="236"/>
    <n v="78.666666666666671"/>
    <n v="0.78666666666666663"/>
    <n v="222"/>
  </r>
  <r>
    <x v="0"/>
    <x v="4"/>
    <s v="bachelor's degree"/>
    <s v="free/reduced"/>
    <x v="0"/>
    <n v="73"/>
    <n v="79"/>
    <n v="84"/>
    <n v="236"/>
    <n v="78.666666666666671"/>
    <n v="0.78666666666666663"/>
    <n v="222"/>
  </r>
  <r>
    <x v="0"/>
    <x v="3"/>
    <s v="some high school"/>
    <s v="standard"/>
    <x v="0"/>
    <n v="77"/>
    <n v="79"/>
    <n v="80"/>
    <n v="236"/>
    <n v="78.666666666666671"/>
    <n v="0.78666666666666663"/>
    <n v="222"/>
  </r>
  <r>
    <x v="1"/>
    <x v="3"/>
    <s v="some college"/>
    <s v="standard"/>
    <x v="0"/>
    <n v="86"/>
    <n v="76"/>
    <n v="74"/>
    <n v="236"/>
    <n v="78.666666666666671"/>
    <n v="0.78666666666666663"/>
    <n v="222"/>
  </r>
  <r>
    <x v="0"/>
    <x v="4"/>
    <s v="some high school"/>
    <s v="free/reduced"/>
    <x v="1"/>
    <n v="69"/>
    <n v="86"/>
    <n v="81"/>
    <n v="236"/>
    <n v="78.666666666666671"/>
    <n v="0.78666666666666663"/>
    <n v="222"/>
  </r>
  <r>
    <x v="0"/>
    <x v="2"/>
    <s v="high school"/>
    <s v="standard"/>
    <x v="1"/>
    <n v="75"/>
    <n v="82"/>
    <n v="79"/>
    <n v="236"/>
    <n v="78.666666666666671"/>
    <n v="0.78666666666666663"/>
    <n v="222"/>
  </r>
  <r>
    <x v="0"/>
    <x v="4"/>
    <s v="some college"/>
    <s v="free/reduced"/>
    <x v="1"/>
    <n v="67"/>
    <n v="86"/>
    <n v="83"/>
    <n v="236"/>
    <n v="78.666666666666671"/>
    <n v="0.78666666666666663"/>
    <n v="222"/>
  </r>
  <r>
    <x v="0"/>
    <x v="0"/>
    <s v="associate's degree"/>
    <s v="standard"/>
    <x v="1"/>
    <n v="67"/>
    <n v="84"/>
    <n v="86"/>
    <n v="237"/>
    <n v="79"/>
    <n v="0.79"/>
    <n v="215"/>
  </r>
  <r>
    <x v="1"/>
    <x v="3"/>
    <s v="high school"/>
    <s v="standard"/>
    <x v="1"/>
    <n v="81"/>
    <n v="80"/>
    <n v="76"/>
    <n v="237"/>
    <n v="79"/>
    <n v="0.79"/>
    <n v="215"/>
  </r>
  <r>
    <x v="0"/>
    <x v="4"/>
    <s v="some college"/>
    <s v="free/reduced"/>
    <x v="0"/>
    <n v="71"/>
    <n v="83"/>
    <n v="83"/>
    <n v="237"/>
    <n v="79"/>
    <n v="0.79"/>
    <n v="215"/>
  </r>
  <r>
    <x v="1"/>
    <x v="3"/>
    <s v="associate's degree"/>
    <s v="standard"/>
    <x v="0"/>
    <n v="87"/>
    <n v="74"/>
    <n v="76"/>
    <n v="237"/>
    <n v="79"/>
    <n v="0.79"/>
    <n v="215"/>
  </r>
  <r>
    <x v="0"/>
    <x v="0"/>
    <s v="associate's degree"/>
    <s v="standard"/>
    <x v="0"/>
    <n v="81"/>
    <n v="77"/>
    <n v="79"/>
    <n v="237"/>
    <n v="79"/>
    <n v="0.79"/>
    <n v="215"/>
  </r>
  <r>
    <x v="1"/>
    <x v="4"/>
    <s v="some high school"/>
    <s v="standard"/>
    <x v="1"/>
    <n v="88"/>
    <n v="74"/>
    <n v="75"/>
    <n v="237"/>
    <n v="79"/>
    <n v="0.79"/>
    <n v="215"/>
  </r>
  <r>
    <x v="1"/>
    <x v="4"/>
    <s v="some high school"/>
    <s v="standard"/>
    <x v="0"/>
    <n v="81"/>
    <n v="78"/>
    <n v="78"/>
    <n v="237"/>
    <n v="79"/>
    <n v="0.79"/>
    <n v="215"/>
  </r>
  <r>
    <x v="0"/>
    <x v="4"/>
    <s v="associate's degree"/>
    <s v="standard"/>
    <x v="0"/>
    <n v="74"/>
    <n v="81"/>
    <n v="83"/>
    <n v="238"/>
    <n v="79.333333333333329"/>
    <n v="0.79333333333333333"/>
    <n v="207"/>
  </r>
  <r>
    <x v="1"/>
    <x v="4"/>
    <s v="master's degree"/>
    <s v="standard"/>
    <x v="0"/>
    <n v="82"/>
    <n v="82"/>
    <n v="74"/>
    <n v="238"/>
    <n v="79.333333333333329"/>
    <n v="0.79333333333333333"/>
    <n v="207"/>
  </r>
  <r>
    <x v="1"/>
    <x v="4"/>
    <s v="some college"/>
    <s v="standard"/>
    <x v="1"/>
    <n v="76"/>
    <n v="83"/>
    <n v="79"/>
    <n v="238"/>
    <n v="79.333333333333329"/>
    <n v="0.79333333333333333"/>
    <n v="207"/>
  </r>
  <r>
    <x v="0"/>
    <x v="0"/>
    <s v="master's degree"/>
    <s v="standard"/>
    <x v="1"/>
    <n v="69"/>
    <n v="84"/>
    <n v="85"/>
    <n v="238"/>
    <n v="79.333333333333329"/>
    <n v="0.79333333333333333"/>
    <n v="207"/>
  </r>
  <r>
    <x v="1"/>
    <x v="4"/>
    <s v="some high school"/>
    <s v="free/reduced"/>
    <x v="1"/>
    <n v="80"/>
    <n v="79"/>
    <n v="79"/>
    <n v="238"/>
    <n v="79.333333333333329"/>
    <n v="0.79333333333333333"/>
    <n v="207"/>
  </r>
  <r>
    <x v="0"/>
    <x v="1"/>
    <s v="some high school"/>
    <s v="standard"/>
    <x v="0"/>
    <n v="67"/>
    <n v="89"/>
    <n v="82"/>
    <n v="238"/>
    <n v="79.333333333333329"/>
    <n v="0.79333333333333333"/>
    <n v="207"/>
  </r>
  <r>
    <x v="0"/>
    <x v="0"/>
    <s v="associate's degree"/>
    <s v="standard"/>
    <x v="1"/>
    <n v="68"/>
    <n v="86"/>
    <n v="84"/>
    <n v="238"/>
    <n v="79.333333333333329"/>
    <n v="0.79333333333333333"/>
    <n v="207"/>
  </r>
  <r>
    <x v="1"/>
    <x v="3"/>
    <s v="high school"/>
    <s v="standard"/>
    <x v="0"/>
    <n v="94"/>
    <n v="73"/>
    <n v="71"/>
    <n v="238"/>
    <n v="79.333333333333329"/>
    <n v="0.79333333333333333"/>
    <n v="207"/>
  </r>
  <r>
    <x v="1"/>
    <x v="2"/>
    <s v="bachelor's degree"/>
    <s v="standard"/>
    <x v="1"/>
    <n v="80"/>
    <n v="78"/>
    <n v="81"/>
    <n v="239"/>
    <n v="79.666666666666671"/>
    <n v="0.79666666666666663"/>
    <n v="199"/>
  </r>
  <r>
    <x v="0"/>
    <x v="4"/>
    <s v="bachelor's degree"/>
    <s v="standard"/>
    <x v="0"/>
    <n v="78"/>
    <n v="82"/>
    <n v="79"/>
    <n v="239"/>
    <n v="79.666666666666671"/>
    <n v="0.79666666666666663"/>
    <n v="199"/>
  </r>
  <r>
    <x v="1"/>
    <x v="4"/>
    <s v="some college"/>
    <s v="standard"/>
    <x v="0"/>
    <n v="88"/>
    <n v="73"/>
    <n v="78"/>
    <n v="239"/>
    <n v="79.666666666666671"/>
    <n v="0.79666666666666663"/>
    <n v="199"/>
  </r>
  <r>
    <x v="1"/>
    <x v="3"/>
    <s v="associate's degree"/>
    <s v="standard"/>
    <x v="0"/>
    <n v="89"/>
    <n v="76"/>
    <n v="74"/>
    <n v="239"/>
    <n v="79.666666666666671"/>
    <n v="0.79666666666666663"/>
    <n v="199"/>
  </r>
  <r>
    <x v="1"/>
    <x v="1"/>
    <s v="bachelor's degree"/>
    <s v="free/reduced"/>
    <x v="0"/>
    <n v="88"/>
    <n v="75"/>
    <n v="76"/>
    <n v="239"/>
    <n v="79.666666666666671"/>
    <n v="0.79666666666666663"/>
    <n v="199"/>
  </r>
  <r>
    <x v="0"/>
    <x v="1"/>
    <s v="associate's degree"/>
    <s v="standard"/>
    <x v="0"/>
    <n v="82"/>
    <n v="80"/>
    <n v="77"/>
    <n v="239"/>
    <n v="79.666666666666671"/>
    <n v="0.79666666666666663"/>
    <n v="199"/>
  </r>
  <r>
    <x v="0"/>
    <x v="4"/>
    <s v="high school"/>
    <s v="standard"/>
    <x v="0"/>
    <n v="78"/>
    <n v="81"/>
    <n v="80"/>
    <n v="239"/>
    <n v="79.666666666666671"/>
    <n v="0.79666666666666663"/>
    <n v="199"/>
  </r>
  <r>
    <x v="0"/>
    <x v="1"/>
    <s v="bachelor's degree"/>
    <s v="standard"/>
    <x v="0"/>
    <n v="75"/>
    <n v="84"/>
    <n v="80"/>
    <n v="239"/>
    <n v="79.666666666666671"/>
    <n v="0.79666666666666663"/>
    <n v="199"/>
  </r>
  <r>
    <x v="0"/>
    <x v="0"/>
    <s v="some college"/>
    <s v="standard"/>
    <x v="1"/>
    <n v="75"/>
    <n v="81"/>
    <n v="84"/>
    <n v="240"/>
    <n v="80"/>
    <n v="0.8"/>
    <n v="195"/>
  </r>
  <r>
    <x v="1"/>
    <x v="2"/>
    <s v="some college"/>
    <s v="free/reduced"/>
    <x v="1"/>
    <n v="81"/>
    <n v="78"/>
    <n v="81"/>
    <n v="240"/>
    <n v="80"/>
    <n v="0.8"/>
    <n v="195"/>
  </r>
  <r>
    <x v="0"/>
    <x v="3"/>
    <s v="high school"/>
    <s v="standard"/>
    <x v="0"/>
    <n v="75"/>
    <n v="86"/>
    <n v="79"/>
    <n v="240"/>
    <n v="80"/>
    <n v="0.8"/>
    <n v="195"/>
  </r>
  <r>
    <x v="0"/>
    <x v="1"/>
    <s v="high school"/>
    <s v="free/reduced"/>
    <x v="0"/>
    <n v="71"/>
    <n v="87"/>
    <n v="82"/>
    <n v="240"/>
    <n v="80"/>
    <n v="0.8"/>
    <n v="195"/>
  </r>
  <r>
    <x v="1"/>
    <x v="3"/>
    <s v="associate's degree"/>
    <s v="standard"/>
    <x v="1"/>
    <n v="81"/>
    <n v="81"/>
    <n v="79"/>
    <n v="241"/>
    <n v="80.333333333333329"/>
    <n v="0.80333333333333334"/>
    <n v="187"/>
  </r>
  <r>
    <x v="1"/>
    <x v="4"/>
    <s v="high school"/>
    <s v="standard"/>
    <x v="0"/>
    <n v="88"/>
    <n v="78"/>
    <n v="75"/>
    <n v="241"/>
    <n v="80.333333333333329"/>
    <n v="0.80333333333333334"/>
    <n v="187"/>
  </r>
  <r>
    <x v="0"/>
    <x v="4"/>
    <s v="some high school"/>
    <s v="standard"/>
    <x v="0"/>
    <n v="73"/>
    <n v="86"/>
    <n v="82"/>
    <n v="241"/>
    <n v="80.333333333333329"/>
    <n v="0.80333333333333334"/>
    <n v="187"/>
  </r>
  <r>
    <x v="1"/>
    <x v="0"/>
    <s v="associate's degree"/>
    <s v="free/reduced"/>
    <x v="1"/>
    <n v="78"/>
    <n v="81"/>
    <n v="82"/>
    <n v="241"/>
    <n v="80.333333333333329"/>
    <n v="0.80333333333333334"/>
    <n v="187"/>
  </r>
  <r>
    <x v="1"/>
    <x v="4"/>
    <s v="some high school"/>
    <s v="standard"/>
    <x v="0"/>
    <n v="86"/>
    <n v="80"/>
    <n v="75"/>
    <n v="241"/>
    <n v="80.333333333333329"/>
    <n v="0.80333333333333334"/>
    <n v="187"/>
  </r>
  <r>
    <x v="1"/>
    <x v="0"/>
    <s v="some college"/>
    <s v="standard"/>
    <x v="0"/>
    <n v="91"/>
    <n v="74"/>
    <n v="76"/>
    <n v="241"/>
    <n v="80.333333333333329"/>
    <n v="0.80333333333333334"/>
    <n v="187"/>
  </r>
  <r>
    <x v="1"/>
    <x v="4"/>
    <s v="associate's degree"/>
    <s v="free/reduced"/>
    <x v="1"/>
    <n v="79"/>
    <n v="82"/>
    <n v="80"/>
    <n v="241"/>
    <n v="80.333333333333329"/>
    <n v="0.80333333333333334"/>
    <n v="187"/>
  </r>
  <r>
    <x v="1"/>
    <x v="3"/>
    <s v="some high school"/>
    <s v="free/reduced"/>
    <x v="1"/>
    <n v="78"/>
    <n v="83"/>
    <n v="80"/>
    <n v="241"/>
    <n v="80.333333333333329"/>
    <n v="0.80333333333333334"/>
    <n v="187"/>
  </r>
  <r>
    <x v="0"/>
    <x v="0"/>
    <s v="some high school"/>
    <s v="free/reduced"/>
    <x v="1"/>
    <n v="71"/>
    <n v="84"/>
    <n v="87"/>
    <n v="242"/>
    <n v="80.666666666666671"/>
    <n v="0.80666666666666664"/>
    <n v="180"/>
  </r>
  <r>
    <x v="0"/>
    <x v="1"/>
    <s v="bachelor's degree"/>
    <s v="free/reduced"/>
    <x v="0"/>
    <n v="75"/>
    <n v="85"/>
    <n v="82"/>
    <n v="242"/>
    <n v="80.666666666666671"/>
    <n v="0.80666666666666664"/>
    <n v="180"/>
  </r>
  <r>
    <x v="1"/>
    <x v="1"/>
    <s v="some high school"/>
    <s v="standard"/>
    <x v="1"/>
    <n v="84"/>
    <n v="83"/>
    <n v="75"/>
    <n v="242"/>
    <n v="80.666666666666671"/>
    <n v="0.80666666666666664"/>
    <n v="180"/>
  </r>
  <r>
    <x v="0"/>
    <x v="4"/>
    <s v="some high school"/>
    <s v="standard"/>
    <x v="0"/>
    <n v="73"/>
    <n v="84"/>
    <n v="85"/>
    <n v="242"/>
    <n v="80.666666666666671"/>
    <n v="0.80666666666666664"/>
    <n v="180"/>
  </r>
  <r>
    <x v="0"/>
    <x v="3"/>
    <s v="bachelor's degree"/>
    <s v="standard"/>
    <x v="1"/>
    <n v="79"/>
    <n v="81"/>
    <n v="82"/>
    <n v="242"/>
    <n v="80.666666666666671"/>
    <n v="0.80666666666666664"/>
    <n v="180"/>
  </r>
  <r>
    <x v="1"/>
    <x v="4"/>
    <s v="some college"/>
    <s v="standard"/>
    <x v="0"/>
    <n v="88"/>
    <n v="77"/>
    <n v="77"/>
    <n v="242"/>
    <n v="80.666666666666671"/>
    <n v="0.80666666666666664"/>
    <n v="180"/>
  </r>
  <r>
    <x v="1"/>
    <x v="3"/>
    <s v="high school"/>
    <s v="free/reduced"/>
    <x v="1"/>
    <n v="86"/>
    <n v="81"/>
    <n v="75"/>
    <n v="242"/>
    <n v="80.666666666666671"/>
    <n v="0.80666666666666664"/>
    <n v="180"/>
  </r>
  <r>
    <x v="1"/>
    <x v="2"/>
    <s v="associate's degree"/>
    <s v="free/reduced"/>
    <x v="1"/>
    <n v="79"/>
    <n v="82"/>
    <n v="82"/>
    <n v="243"/>
    <n v="81"/>
    <n v="0.81"/>
    <n v="178"/>
  </r>
  <r>
    <x v="0"/>
    <x v="1"/>
    <s v="high school"/>
    <s v="free/reduced"/>
    <x v="1"/>
    <n v="76"/>
    <n v="85"/>
    <n v="82"/>
    <n v="243"/>
    <n v="81"/>
    <n v="0.81"/>
    <n v="178"/>
  </r>
  <r>
    <x v="1"/>
    <x v="0"/>
    <s v="associate's degree"/>
    <s v="standard"/>
    <x v="0"/>
    <n v="84"/>
    <n v="80"/>
    <n v="80"/>
    <n v="244"/>
    <n v="81.333333333333329"/>
    <n v="0.81333333333333335"/>
    <n v="173"/>
  </r>
  <r>
    <x v="0"/>
    <x v="1"/>
    <s v="some high school"/>
    <s v="standard"/>
    <x v="0"/>
    <n v="82"/>
    <n v="82"/>
    <n v="80"/>
    <n v="244"/>
    <n v="81.333333333333329"/>
    <n v="0.81333333333333335"/>
    <n v="173"/>
  </r>
  <r>
    <x v="1"/>
    <x v="3"/>
    <s v="associate's degree"/>
    <s v="free/reduced"/>
    <x v="1"/>
    <n v="91"/>
    <n v="73"/>
    <n v="80"/>
    <n v="244"/>
    <n v="81.333333333333329"/>
    <n v="0.81333333333333335"/>
    <n v="173"/>
  </r>
  <r>
    <x v="1"/>
    <x v="1"/>
    <s v="associate's degree"/>
    <s v="standard"/>
    <x v="1"/>
    <n v="82"/>
    <n v="84"/>
    <n v="78"/>
    <n v="244"/>
    <n v="81.333333333333329"/>
    <n v="0.81333333333333335"/>
    <n v="173"/>
  </r>
  <r>
    <x v="1"/>
    <x v="1"/>
    <s v="high school"/>
    <s v="standard"/>
    <x v="0"/>
    <n v="82"/>
    <n v="82"/>
    <n v="80"/>
    <n v="244"/>
    <n v="81.333333333333329"/>
    <n v="0.81333333333333335"/>
    <n v="173"/>
  </r>
  <r>
    <x v="1"/>
    <x v="1"/>
    <s v="associate's degree"/>
    <s v="standard"/>
    <x v="0"/>
    <n v="87"/>
    <n v="85"/>
    <n v="73"/>
    <n v="245"/>
    <n v="81.666666666666671"/>
    <n v="0.81666666666666665"/>
    <n v="169"/>
  </r>
  <r>
    <x v="1"/>
    <x v="1"/>
    <s v="associate's degree"/>
    <s v="standard"/>
    <x v="1"/>
    <n v="81"/>
    <n v="82"/>
    <n v="82"/>
    <n v="245"/>
    <n v="81.666666666666671"/>
    <n v="0.81666666666666665"/>
    <n v="169"/>
  </r>
  <r>
    <x v="1"/>
    <x v="3"/>
    <s v="some college"/>
    <s v="standard"/>
    <x v="1"/>
    <n v="84"/>
    <n v="83"/>
    <n v="78"/>
    <n v="245"/>
    <n v="81.666666666666671"/>
    <n v="0.81666666666666665"/>
    <n v="169"/>
  </r>
  <r>
    <x v="1"/>
    <x v="4"/>
    <s v="some high school"/>
    <s v="standard"/>
    <x v="1"/>
    <n v="78"/>
    <n v="81"/>
    <n v="86"/>
    <n v="245"/>
    <n v="81.666666666666671"/>
    <n v="0.81666666666666665"/>
    <n v="169"/>
  </r>
  <r>
    <x v="0"/>
    <x v="4"/>
    <s v="some college"/>
    <s v="standard"/>
    <x v="0"/>
    <n v="79"/>
    <n v="86"/>
    <n v="81"/>
    <n v="246"/>
    <n v="82"/>
    <n v="0.82"/>
    <n v="166"/>
  </r>
  <r>
    <x v="0"/>
    <x v="3"/>
    <s v="bachelor's degree"/>
    <s v="standard"/>
    <x v="0"/>
    <n v="80"/>
    <n v="83"/>
    <n v="83"/>
    <n v="246"/>
    <n v="82"/>
    <n v="0.82"/>
    <n v="166"/>
  </r>
  <r>
    <x v="1"/>
    <x v="4"/>
    <s v="master's degree"/>
    <s v="standard"/>
    <x v="0"/>
    <n v="81"/>
    <n v="81"/>
    <n v="84"/>
    <n v="246"/>
    <n v="82"/>
    <n v="0.82"/>
    <n v="166"/>
  </r>
  <r>
    <x v="0"/>
    <x v="0"/>
    <s v="some college"/>
    <s v="standard"/>
    <x v="1"/>
    <n v="69"/>
    <n v="90"/>
    <n v="88"/>
    <n v="247"/>
    <n v="82.333333333333329"/>
    <n v="0.82333333333333336"/>
    <n v="155"/>
  </r>
  <r>
    <x v="0"/>
    <x v="0"/>
    <s v="some college"/>
    <s v="free/reduced"/>
    <x v="0"/>
    <n v="76"/>
    <n v="83"/>
    <n v="88"/>
    <n v="247"/>
    <n v="82.333333333333329"/>
    <n v="0.82333333333333336"/>
    <n v="155"/>
  </r>
  <r>
    <x v="1"/>
    <x v="1"/>
    <s v="some high school"/>
    <s v="standard"/>
    <x v="0"/>
    <n v="88"/>
    <n v="84"/>
    <n v="75"/>
    <n v="247"/>
    <n v="82.333333333333329"/>
    <n v="0.82333333333333336"/>
    <n v="155"/>
  </r>
  <r>
    <x v="0"/>
    <x v="0"/>
    <s v="some college"/>
    <s v="standard"/>
    <x v="1"/>
    <n v="70"/>
    <n v="89"/>
    <n v="88"/>
    <n v="247"/>
    <n v="82.333333333333329"/>
    <n v="0.82333333333333336"/>
    <n v="155"/>
  </r>
  <r>
    <x v="1"/>
    <x v="1"/>
    <s v="some high school"/>
    <s v="standard"/>
    <x v="1"/>
    <n v="85"/>
    <n v="84"/>
    <n v="78"/>
    <n v="247"/>
    <n v="82.333333333333329"/>
    <n v="0.82333333333333336"/>
    <n v="155"/>
  </r>
  <r>
    <x v="1"/>
    <x v="0"/>
    <s v="high school"/>
    <s v="standard"/>
    <x v="1"/>
    <n v="86"/>
    <n v="81"/>
    <n v="80"/>
    <n v="247"/>
    <n v="82.333333333333329"/>
    <n v="0.82333333333333336"/>
    <n v="155"/>
  </r>
  <r>
    <x v="0"/>
    <x v="4"/>
    <s v="some college"/>
    <s v="standard"/>
    <x v="0"/>
    <n v="74"/>
    <n v="89"/>
    <n v="84"/>
    <n v="247"/>
    <n v="82.333333333333329"/>
    <n v="0.82333333333333336"/>
    <n v="155"/>
  </r>
  <r>
    <x v="0"/>
    <x v="0"/>
    <s v="associate's degree"/>
    <s v="standard"/>
    <x v="1"/>
    <n v="75"/>
    <n v="82"/>
    <n v="90"/>
    <n v="247"/>
    <n v="82.333333333333329"/>
    <n v="0.82333333333333336"/>
    <n v="155"/>
  </r>
  <r>
    <x v="0"/>
    <x v="0"/>
    <s v="high school"/>
    <s v="standard"/>
    <x v="0"/>
    <n v="81"/>
    <n v="84"/>
    <n v="82"/>
    <n v="247"/>
    <n v="82.333333333333329"/>
    <n v="0.82333333333333336"/>
    <n v="155"/>
  </r>
  <r>
    <x v="1"/>
    <x v="3"/>
    <s v="some high school"/>
    <s v="standard"/>
    <x v="1"/>
    <n v="87"/>
    <n v="84"/>
    <n v="76"/>
    <n v="247"/>
    <n v="82.333333333333329"/>
    <n v="0.82333333333333336"/>
    <n v="155"/>
  </r>
  <r>
    <x v="1"/>
    <x v="4"/>
    <s v="some college"/>
    <s v="standard"/>
    <x v="0"/>
    <n v="81"/>
    <n v="82"/>
    <n v="84"/>
    <n v="247"/>
    <n v="82.333333333333329"/>
    <n v="0.82333333333333336"/>
    <n v="155"/>
  </r>
  <r>
    <x v="1"/>
    <x v="0"/>
    <s v="high school"/>
    <s v="standard"/>
    <x v="1"/>
    <n v="82"/>
    <n v="84"/>
    <n v="82"/>
    <n v="248"/>
    <n v="82.666666666666671"/>
    <n v="0.82666666666666666"/>
    <n v="149"/>
  </r>
  <r>
    <x v="0"/>
    <x v="3"/>
    <s v="some college"/>
    <s v="free/reduced"/>
    <x v="1"/>
    <n v="75"/>
    <n v="88"/>
    <n v="85"/>
    <n v="248"/>
    <n v="82.666666666666671"/>
    <n v="0.82666666666666666"/>
    <n v="149"/>
  </r>
  <r>
    <x v="0"/>
    <x v="0"/>
    <s v="some high school"/>
    <s v="standard"/>
    <x v="1"/>
    <n v="76"/>
    <n v="87"/>
    <n v="85"/>
    <n v="248"/>
    <n v="82.666666666666671"/>
    <n v="0.82666666666666666"/>
    <n v="149"/>
  </r>
  <r>
    <x v="0"/>
    <x v="0"/>
    <s v="high school"/>
    <s v="standard"/>
    <x v="0"/>
    <n v="75"/>
    <n v="88"/>
    <n v="85"/>
    <n v="248"/>
    <n v="82.666666666666671"/>
    <n v="0.82666666666666666"/>
    <n v="149"/>
  </r>
  <r>
    <x v="1"/>
    <x v="4"/>
    <s v="some high school"/>
    <s v="standard"/>
    <x v="0"/>
    <n v="84"/>
    <n v="84"/>
    <n v="80"/>
    <n v="248"/>
    <n v="82.666666666666671"/>
    <n v="0.82666666666666666"/>
    <n v="149"/>
  </r>
  <r>
    <x v="0"/>
    <x v="1"/>
    <s v="high school"/>
    <s v="standard"/>
    <x v="1"/>
    <n v="77"/>
    <n v="82"/>
    <n v="89"/>
    <n v="248"/>
    <n v="82.666666666666671"/>
    <n v="0.82666666666666666"/>
    <n v="149"/>
  </r>
  <r>
    <x v="1"/>
    <x v="0"/>
    <s v="bachelor's degree"/>
    <s v="standard"/>
    <x v="1"/>
    <n v="83"/>
    <n v="82"/>
    <n v="84"/>
    <n v="249"/>
    <n v="83"/>
    <n v="0.83"/>
    <n v="140"/>
  </r>
  <r>
    <x v="1"/>
    <x v="1"/>
    <s v="some college"/>
    <s v="standard"/>
    <x v="1"/>
    <n v="88"/>
    <n v="85"/>
    <n v="76"/>
    <n v="249"/>
    <n v="83"/>
    <n v="0.83"/>
    <n v="140"/>
  </r>
  <r>
    <x v="1"/>
    <x v="1"/>
    <s v="associate's degree"/>
    <s v="standard"/>
    <x v="0"/>
    <n v="90"/>
    <n v="78"/>
    <n v="81"/>
    <n v="249"/>
    <n v="83"/>
    <n v="0.83"/>
    <n v="140"/>
  </r>
  <r>
    <x v="0"/>
    <x v="1"/>
    <s v="associate's degree"/>
    <s v="standard"/>
    <x v="0"/>
    <n v="80"/>
    <n v="86"/>
    <n v="83"/>
    <n v="249"/>
    <n v="83"/>
    <n v="0.83"/>
    <n v="140"/>
  </r>
  <r>
    <x v="1"/>
    <x v="4"/>
    <s v="bachelor's degree"/>
    <s v="standard"/>
    <x v="0"/>
    <n v="88"/>
    <n v="78"/>
    <n v="83"/>
    <n v="249"/>
    <n v="83"/>
    <n v="0.83"/>
    <n v="140"/>
  </r>
  <r>
    <x v="0"/>
    <x v="1"/>
    <s v="bachelor's degree"/>
    <s v="free/reduced"/>
    <x v="0"/>
    <n v="77"/>
    <n v="85"/>
    <n v="87"/>
    <n v="249"/>
    <n v="83"/>
    <n v="0.83"/>
    <n v="140"/>
  </r>
  <r>
    <x v="0"/>
    <x v="4"/>
    <s v="high school"/>
    <s v="free/reduced"/>
    <x v="0"/>
    <n v="73"/>
    <n v="92"/>
    <n v="84"/>
    <n v="249"/>
    <n v="83"/>
    <n v="0.83"/>
    <n v="140"/>
  </r>
  <r>
    <x v="0"/>
    <x v="0"/>
    <s v="bachelor's degree"/>
    <s v="free/reduced"/>
    <x v="1"/>
    <n v="74"/>
    <n v="86"/>
    <n v="89"/>
    <n v="249"/>
    <n v="83"/>
    <n v="0.83"/>
    <n v="140"/>
  </r>
  <r>
    <x v="0"/>
    <x v="4"/>
    <s v="some college"/>
    <s v="free/reduced"/>
    <x v="0"/>
    <n v="77"/>
    <n v="86"/>
    <n v="86"/>
    <n v="249"/>
    <n v="83"/>
    <n v="0.83"/>
    <n v="140"/>
  </r>
  <r>
    <x v="0"/>
    <x v="4"/>
    <s v="master's degree"/>
    <s v="standard"/>
    <x v="1"/>
    <n v="77"/>
    <n v="82"/>
    <n v="91"/>
    <n v="250"/>
    <n v="83.333333333333329"/>
    <n v="0.83333333333333337"/>
    <n v="135"/>
  </r>
  <r>
    <x v="0"/>
    <x v="2"/>
    <s v="high school"/>
    <s v="free/reduced"/>
    <x v="1"/>
    <n v="77"/>
    <n v="88"/>
    <n v="85"/>
    <n v="250"/>
    <n v="83.333333333333329"/>
    <n v="0.83333333333333337"/>
    <n v="135"/>
  </r>
  <r>
    <x v="0"/>
    <x v="3"/>
    <s v="some high school"/>
    <s v="standard"/>
    <x v="1"/>
    <n v="80"/>
    <n v="85"/>
    <n v="85"/>
    <n v="250"/>
    <n v="83.333333333333329"/>
    <n v="0.83333333333333337"/>
    <n v="135"/>
  </r>
  <r>
    <x v="1"/>
    <x v="3"/>
    <s v="some high school"/>
    <s v="standard"/>
    <x v="1"/>
    <n v="89"/>
    <n v="84"/>
    <n v="77"/>
    <n v="250"/>
    <n v="83.333333333333329"/>
    <n v="0.83333333333333337"/>
    <n v="135"/>
  </r>
  <r>
    <x v="1"/>
    <x v="1"/>
    <s v="some high school"/>
    <s v="standard"/>
    <x v="1"/>
    <n v="79"/>
    <n v="85"/>
    <n v="86"/>
    <n v="250"/>
    <n v="83.333333333333329"/>
    <n v="0.83333333333333337"/>
    <n v="135"/>
  </r>
  <r>
    <x v="0"/>
    <x v="0"/>
    <s v="associate's degree"/>
    <s v="standard"/>
    <x v="0"/>
    <n v="85"/>
    <n v="84"/>
    <n v="82"/>
    <n v="251"/>
    <n v="83.666666666666671"/>
    <n v="0.83666666666666667"/>
    <n v="131"/>
  </r>
  <r>
    <x v="0"/>
    <x v="1"/>
    <s v="master's degree"/>
    <s v="standard"/>
    <x v="0"/>
    <n v="77"/>
    <n v="90"/>
    <n v="84"/>
    <n v="251"/>
    <n v="83.666666666666671"/>
    <n v="0.83666666666666667"/>
    <n v="131"/>
  </r>
  <r>
    <x v="1"/>
    <x v="0"/>
    <s v="bachelor's degree"/>
    <s v="standard"/>
    <x v="1"/>
    <n v="91"/>
    <n v="81"/>
    <n v="79"/>
    <n v="251"/>
    <n v="83.666666666666671"/>
    <n v="0.83666666666666667"/>
    <n v="131"/>
  </r>
  <r>
    <x v="1"/>
    <x v="4"/>
    <s v="some college"/>
    <s v="standard"/>
    <x v="1"/>
    <n v="85"/>
    <n v="81"/>
    <n v="85"/>
    <n v="251"/>
    <n v="83.666666666666671"/>
    <n v="0.83666666666666667"/>
    <n v="131"/>
  </r>
  <r>
    <x v="0"/>
    <x v="0"/>
    <s v="bachelor's degree"/>
    <s v="standard"/>
    <x v="0"/>
    <n v="77"/>
    <n v="88"/>
    <n v="87"/>
    <n v="252"/>
    <n v="84"/>
    <n v="0.84"/>
    <n v="123"/>
  </r>
  <r>
    <x v="1"/>
    <x v="4"/>
    <s v="associate's degree"/>
    <s v="free/reduced"/>
    <x v="0"/>
    <n v="90"/>
    <n v="87"/>
    <n v="75"/>
    <n v="252"/>
    <n v="84"/>
    <n v="0.84"/>
    <n v="123"/>
  </r>
  <r>
    <x v="0"/>
    <x v="4"/>
    <s v="some high school"/>
    <s v="standard"/>
    <x v="0"/>
    <n v="80"/>
    <n v="90"/>
    <n v="82"/>
    <n v="252"/>
    <n v="84"/>
    <n v="0.84"/>
    <n v="123"/>
  </r>
  <r>
    <x v="0"/>
    <x v="4"/>
    <s v="associate's degree"/>
    <s v="free/reduced"/>
    <x v="1"/>
    <n v="74"/>
    <n v="88"/>
    <n v="90"/>
    <n v="252"/>
    <n v="84"/>
    <n v="0.84"/>
    <n v="123"/>
  </r>
  <r>
    <x v="0"/>
    <x v="1"/>
    <s v="some high school"/>
    <s v="free/reduced"/>
    <x v="1"/>
    <n v="74"/>
    <n v="90"/>
    <n v="88"/>
    <n v="252"/>
    <n v="84"/>
    <n v="0.84"/>
    <n v="123"/>
  </r>
  <r>
    <x v="0"/>
    <x v="0"/>
    <s v="some high school"/>
    <s v="standard"/>
    <x v="1"/>
    <n v="77"/>
    <n v="90"/>
    <n v="85"/>
    <n v="252"/>
    <n v="84"/>
    <n v="0.84"/>
    <n v="123"/>
  </r>
  <r>
    <x v="1"/>
    <x v="4"/>
    <s v="some college"/>
    <s v="standard"/>
    <x v="1"/>
    <n v="82"/>
    <n v="82"/>
    <n v="88"/>
    <n v="252"/>
    <n v="84"/>
    <n v="0.84"/>
    <n v="123"/>
  </r>
  <r>
    <x v="1"/>
    <x v="0"/>
    <s v="some college"/>
    <s v="standard"/>
    <x v="0"/>
    <n v="84"/>
    <n v="87"/>
    <n v="81"/>
    <n v="252"/>
    <n v="84"/>
    <n v="0.84"/>
    <n v="123"/>
  </r>
  <r>
    <x v="0"/>
    <x v="4"/>
    <s v="associate's degree"/>
    <s v="free/reduced"/>
    <x v="1"/>
    <n v="75"/>
    <n v="90"/>
    <n v="88"/>
    <n v="253"/>
    <n v="84.333333333333329"/>
    <n v="0.84333333333333338"/>
    <n v="121"/>
  </r>
  <r>
    <x v="0"/>
    <x v="3"/>
    <s v="associate's degree"/>
    <s v="standard"/>
    <x v="1"/>
    <n v="82"/>
    <n v="85"/>
    <n v="86"/>
    <n v="253"/>
    <n v="84.333333333333329"/>
    <n v="0.84333333333333338"/>
    <n v="121"/>
  </r>
  <r>
    <x v="0"/>
    <x v="4"/>
    <s v="some college"/>
    <s v="free/reduced"/>
    <x v="0"/>
    <n v="79"/>
    <n v="89"/>
    <n v="86"/>
    <n v="254"/>
    <n v="84.666666666666671"/>
    <n v="0.84666666666666668"/>
    <n v="117"/>
  </r>
  <r>
    <x v="0"/>
    <x v="1"/>
    <s v="some college"/>
    <s v="standard"/>
    <x v="0"/>
    <n v="82"/>
    <n v="85"/>
    <n v="87"/>
    <n v="254"/>
    <n v="84.666666666666671"/>
    <n v="0.84666666666666668"/>
    <n v="117"/>
  </r>
  <r>
    <x v="0"/>
    <x v="3"/>
    <s v="master's degree"/>
    <s v="free/reduced"/>
    <x v="0"/>
    <n v="81"/>
    <n v="86"/>
    <n v="87"/>
    <n v="254"/>
    <n v="84.666666666666671"/>
    <n v="0.84666666666666668"/>
    <n v="117"/>
  </r>
  <r>
    <x v="0"/>
    <x v="4"/>
    <s v="some college"/>
    <s v="standard"/>
    <x v="1"/>
    <n v="79"/>
    <n v="84"/>
    <n v="91"/>
    <n v="254"/>
    <n v="84.666666666666671"/>
    <n v="0.84666666666666668"/>
    <n v="117"/>
  </r>
  <r>
    <x v="1"/>
    <x v="4"/>
    <s v="master's degree"/>
    <s v="standard"/>
    <x v="0"/>
    <n v="89"/>
    <n v="84"/>
    <n v="82"/>
    <n v="255"/>
    <n v="85"/>
    <n v="0.85"/>
    <n v="113"/>
  </r>
  <r>
    <x v="1"/>
    <x v="0"/>
    <s v="bachelor's degree"/>
    <s v="standard"/>
    <x v="0"/>
    <n v="86"/>
    <n v="83"/>
    <n v="86"/>
    <n v="255"/>
    <n v="85"/>
    <n v="0.85"/>
    <n v="113"/>
  </r>
  <r>
    <x v="1"/>
    <x v="4"/>
    <s v="high school"/>
    <s v="standard"/>
    <x v="0"/>
    <n v="89"/>
    <n v="87"/>
    <n v="79"/>
    <n v="255"/>
    <n v="85"/>
    <n v="0.85"/>
    <n v="113"/>
  </r>
  <r>
    <x v="1"/>
    <x v="0"/>
    <s v="associate's degree"/>
    <s v="standard"/>
    <x v="0"/>
    <n v="92"/>
    <n v="79"/>
    <n v="84"/>
    <n v="255"/>
    <n v="85"/>
    <n v="0.85"/>
    <n v="113"/>
  </r>
  <r>
    <x v="1"/>
    <x v="4"/>
    <s v="associate's degree"/>
    <s v="standard"/>
    <x v="1"/>
    <n v="87"/>
    <n v="84"/>
    <n v="85"/>
    <n v="256"/>
    <n v="85.333333333333329"/>
    <n v="0.85333333333333339"/>
    <n v="109"/>
  </r>
  <r>
    <x v="0"/>
    <x v="0"/>
    <s v="some college"/>
    <s v="standard"/>
    <x v="0"/>
    <n v="83"/>
    <n v="83"/>
    <n v="90"/>
    <n v="256"/>
    <n v="85.333333333333329"/>
    <n v="0.85333333333333339"/>
    <n v="109"/>
  </r>
  <r>
    <x v="0"/>
    <x v="0"/>
    <s v="some high school"/>
    <s v="standard"/>
    <x v="0"/>
    <n v="77"/>
    <n v="91"/>
    <n v="88"/>
    <n v="256"/>
    <n v="85.333333333333329"/>
    <n v="0.85333333333333339"/>
    <n v="109"/>
  </r>
  <r>
    <x v="0"/>
    <x v="2"/>
    <s v="some college"/>
    <s v="standard"/>
    <x v="1"/>
    <n v="78"/>
    <n v="87"/>
    <n v="91"/>
    <n v="256"/>
    <n v="85.333333333333329"/>
    <n v="0.85333333333333339"/>
    <n v="109"/>
  </r>
  <r>
    <x v="0"/>
    <x v="1"/>
    <s v="some college"/>
    <s v="standard"/>
    <x v="0"/>
    <n v="79"/>
    <n v="86"/>
    <n v="92"/>
    <n v="257"/>
    <n v="85.666666666666671"/>
    <n v="0.85666666666666669"/>
    <n v="103"/>
  </r>
  <r>
    <x v="0"/>
    <x v="3"/>
    <s v="associate's degree"/>
    <s v="free/reduced"/>
    <x v="1"/>
    <n v="83"/>
    <n v="86"/>
    <n v="88"/>
    <n v="257"/>
    <n v="85.666666666666671"/>
    <n v="0.85666666666666669"/>
    <n v="103"/>
  </r>
  <r>
    <x v="1"/>
    <x v="3"/>
    <s v="some high school"/>
    <s v="standard"/>
    <x v="0"/>
    <n v="92"/>
    <n v="87"/>
    <n v="78"/>
    <n v="257"/>
    <n v="85.666666666666671"/>
    <n v="0.85666666666666669"/>
    <n v="103"/>
  </r>
  <r>
    <x v="0"/>
    <x v="4"/>
    <s v="bachelor's degree"/>
    <s v="standard"/>
    <x v="0"/>
    <n v="79"/>
    <n v="89"/>
    <n v="89"/>
    <n v="257"/>
    <n v="85.666666666666671"/>
    <n v="0.85666666666666669"/>
    <n v="103"/>
  </r>
  <r>
    <x v="0"/>
    <x v="1"/>
    <s v="associate's degree"/>
    <s v="free/reduced"/>
    <x v="1"/>
    <n v="76"/>
    <n v="94"/>
    <n v="87"/>
    <n v="257"/>
    <n v="85.666666666666671"/>
    <n v="0.85666666666666669"/>
    <n v="103"/>
  </r>
  <r>
    <x v="1"/>
    <x v="1"/>
    <s v="some college"/>
    <s v="standard"/>
    <x v="1"/>
    <n v="87"/>
    <n v="84"/>
    <n v="86"/>
    <n v="257"/>
    <n v="85.666666666666671"/>
    <n v="0.85666666666666669"/>
    <n v="103"/>
  </r>
  <r>
    <x v="0"/>
    <x v="0"/>
    <s v="some college"/>
    <s v="free/reduced"/>
    <x v="0"/>
    <n v="77"/>
    <n v="90"/>
    <n v="91"/>
    <n v="258"/>
    <n v="86"/>
    <n v="0.86"/>
    <n v="99"/>
  </r>
  <r>
    <x v="0"/>
    <x v="0"/>
    <s v="associate's degree"/>
    <s v="standard"/>
    <x v="1"/>
    <n v="83"/>
    <n v="85"/>
    <n v="90"/>
    <n v="258"/>
    <n v="86"/>
    <n v="0.86"/>
    <n v="99"/>
  </r>
  <r>
    <x v="1"/>
    <x v="2"/>
    <s v="bachelor's degree"/>
    <s v="standard"/>
    <x v="1"/>
    <n v="87"/>
    <n v="84"/>
    <n v="87"/>
    <n v="258"/>
    <n v="86"/>
    <n v="0.86"/>
    <n v="99"/>
  </r>
  <r>
    <x v="1"/>
    <x v="4"/>
    <s v="master's degree"/>
    <s v="standard"/>
    <x v="0"/>
    <n v="85"/>
    <n v="84"/>
    <n v="89"/>
    <n v="258"/>
    <n v="86"/>
    <n v="0.86"/>
    <n v="99"/>
  </r>
  <r>
    <x v="0"/>
    <x v="0"/>
    <s v="master's degree"/>
    <s v="standard"/>
    <x v="1"/>
    <n v="81"/>
    <n v="91"/>
    <n v="87"/>
    <n v="259"/>
    <n v="86.333333333333329"/>
    <n v="0.86333333333333329"/>
    <n v="93"/>
  </r>
  <r>
    <x v="1"/>
    <x v="3"/>
    <s v="high school"/>
    <s v="standard"/>
    <x v="1"/>
    <n v="87"/>
    <n v="91"/>
    <n v="81"/>
    <n v="259"/>
    <n v="86.333333333333329"/>
    <n v="0.86333333333333329"/>
    <n v="93"/>
  </r>
  <r>
    <x v="0"/>
    <x v="4"/>
    <s v="some college"/>
    <s v="standard"/>
    <x v="0"/>
    <n v="80"/>
    <n v="90"/>
    <n v="89"/>
    <n v="259"/>
    <n v="86.333333333333329"/>
    <n v="0.86333333333333329"/>
    <n v="93"/>
  </r>
  <r>
    <x v="1"/>
    <x v="4"/>
    <s v="some high school"/>
    <s v="standard"/>
    <x v="1"/>
    <n v="89"/>
    <n v="88"/>
    <n v="82"/>
    <n v="259"/>
    <n v="86.333333333333329"/>
    <n v="0.86333333333333329"/>
    <n v="93"/>
  </r>
  <r>
    <x v="0"/>
    <x v="0"/>
    <s v="bachelor's degree"/>
    <s v="standard"/>
    <x v="0"/>
    <n v="81"/>
    <n v="88"/>
    <n v="90"/>
    <n v="259"/>
    <n v="86.333333333333329"/>
    <n v="0.86333333333333329"/>
    <n v="93"/>
  </r>
  <r>
    <x v="1"/>
    <x v="3"/>
    <s v="master's degree"/>
    <s v="standard"/>
    <x v="0"/>
    <n v="90"/>
    <n v="85"/>
    <n v="84"/>
    <n v="259"/>
    <n v="86.333333333333329"/>
    <n v="0.86333333333333329"/>
    <n v="93"/>
  </r>
  <r>
    <x v="0"/>
    <x v="0"/>
    <s v="bachelor's degree"/>
    <s v="standard"/>
    <x v="1"/>
    <n v="79"/>
    <n v="92"/>
    <n v="89"/>
    <n v="260"/>
    <n v="86.666666666666671"/>
    <n v="0.8666666666666667"/>
    <n v="89"/>
  </r>
  <r>
    <x v="1"/>
    <x v="3"/>
    <s v="some high school"/>
    <s v="standard"/>
    <x v="0"/>
    <n v="94"/>
    <n v="88"/>
    <n v="78"/>
    <n v="260"/>
    <n v="86.666666666666671"/>
    <n v="0.8666666666666667"/>
    <n v="89"/>
  </r>
  <r>
    <x v="1"/>
    <x v="4"/>
    <s v="master's degree"/>
    <s v="standard"/>
    <x v="0"/>
    <n v="95"/>
    <n v="81"/>
    <n v="84"/>
    <n v="260"/>
    <n v="86.666666666666671"/>
    <n v="0.8666666666666667"/>
    <n v="89"/>
  </r>
  <r>
    <x v="0"/>
    <x v="4"/>
    <s v="some high school"/>
    <s v="standard"/>
    <x v="1"/>
    <n v="80"/>
    <n v="92"/>
    <n v="88"/>
    <n v="260"/>
    <n v="86.666666666666671"/>
    <n v="0.8666666666666667"/>
    <n v="89"/>
  </r>
  <r>
    <x v="0"/>
    <x v="0"/>
    <s v="associate's degree"/>
    <s v="standard"/>
    <x v="0"/>
    <n v="91"/>
    <n v="86"/>
    <n v="84"/>
    <n v="261"/>
    <n v="87"/>
    <n v="0.87"/>
    <n v="83"/>
  </r>
  <r>
    <x v="0"/>
    <x v="3"/>
    <s v="associate's degree"/>
    <s v="standard"/>
    <x v="1"/>
    <n v="79"/>
    <n v="88"/>
    <n v="94"/>
    <n v="261"/>
    <n v="87"/>
    <n v="0.87"/>
    <n v="83"/>
  </r>
  <r>
    <x v="0"/>
    <x v="1"/>
    <s v="high school"/>
    <s v="standard"/>
    <x v="0"/>
    <n v="81"/>
    <n v="91"/>
    <n v="89"/>
    <n v="261"/>
    <n v="87"/>
    <n v="0.87"/>
    <n v="83"/>
  </r>
  <r>
    <x v="1"/>
    <x v="3"/>
    <s v="associate's degree"/>
    <s v="standard"/>
    <x v="1"/>
    <n v="94"/>
    <n v="85"/>
    <n v="82"/>
    <n v="261"/>
    <n v="87"/>
    <n v="0.87"/>
    <n v="83"/>
  </r>
  <r>
    <x v="0"/>
    <x v="4"/>
    <s v="bachelor's degree"/>
    <s v="free/reduced"/>
    <x v="0"/>
    <n v="78"/>
    <n v="90"/>
    <n v="93"/>
    <n v="261"/>
    <n v="87"/>
    <n v="0.87"/>
    <n v="83"/>
  </r>
  <r>
    <x v="1"/>
    <x v="0"/>
    <s v="master's degree"/>
    <s v="standard"/>
    <x v="1"/>
    <n v="91"/>
    <n v="85"/>
    <n v="85"/>
    <n v="261"/>
    <n v="87"/>
    <n v="0.87"/>
    <n v="83"/>
  </r>
  <r>
    <x v="0"/>
    <x v="0"/>
    <s v="some college"/>
    <s v="standard"/>
    <x v="0"/>
    <n v="84"/>
    <n v="87"/>
    <n v="91"/>
    <n v="262"/>
    <n v="87.333333333333329"/>
    <n v="0.87333333333333329"/>
    <n v="78"/>
  </r>
  <r>
    <x v="1"/>
    <x v="4"/>
    <s v="associate's degree"/>
    <s v="standard"/>
    <x v="0"/>
    <n v="90"/>
    <n v="87"/>
    <n v="85"/>
    <n v="262"/>
    <n v="87.333333333333329"/>
    <n v="0.87333333333333329"/>
    <n v="78"/>
  </r>
  <r>
    <x v="1"/>
    <x v="3"/>
    <s v="associate's degree"/>
    <s v="free/reduced"/>
    <x v="0"/>
    <n v="90"/>
    <n v="90"/>
    <n v="82"/>
    <n v="262"/>
    <n v="87.333333333333329"/>
    <n v="0.87333333333333329"/>
    <n v="78"/>
  </r>
  <r>
    <x v="0"/>
    <x v="3"/>
    <s v="some college"/>
    <s v="standard"/>
    <x v="1"/>
    <n v="86"/>
    <n v="85"/>
    <n v="91"/>
    <n v="262"/>
    <n v="87.333333333333329"/>
    <n v="0.87333333333333329"/>
    <n v="78"/>
  </r>
  <r>
    <x v="0"/>
    <x v="3"/>
    <s v="associate's degree"/>
    <s v="standard"/>
    <x v="0"/>
    <n v="85"/>
    <n v="92"/>
    <n v="85"/>
    <n v="262"/>
    <n v="87.333333333333329"/>
    <n v="0.87333333333333329"/>
    <n v="78"/>
  </r>
  <r>
    <x v="1"/>
    <x v="0"/>
    <s v="high school"/>
    <s v="standard"/>
    <x v="0"/>
    <n v="88"/>
    <n v="89"/>
    <n v="86"/>
    <n v="263"/>
    <n v="87.666666666666671"/>
    <n v="0.87666666666666671"/>
    <n v="76"/>
  </r>
  <r>
    <x v="1"/>
    <x v="4"/>
    <s v="master's degree"/>
    <s v="free/reduced"/>
    <x v="1"/>
    <n v="84"/>
    <n v="89"/>
    <n v="90"/>
    <n v="263"/>
    <n v="87.666666666666671"/>
    <n v="0.87666666666666671"/>
    <n v="76"/>
  </r>
  <r>
    <x v="0"/>
    <x v="4"/>
    <s v="associate's degree"/>
    <s v="free/reduced"/>
    <x v="1"/>
    <n v="77"/>
    <n v="89"/>
    <n v="98"/>
    <n v="264"/>
    <n v="88"/>
    <n v="0.88"/>
    <n v="74"/>
  </r>
  <r>
    <x v="0"/>
    <x v="3"/>
    <s v="master's degree"/>
    <s v="standard"/>
    <x v="0"/>
    <n v="81"/>
    <n v="92"/>
    <n v="91"/>
    <n v="264"/>
    <n v="88"/>
    <n v="0.88"/>
    <n v="74"/>
  </r>
  <r>
    <x v="0"/>
    <x v="4"/>
    <s v="associate's degree"/>
    <s v="standard"/>
    <x v="0"/>
    <n v="85"/>
    <n v="91"/>
    <n v="89"/>
    <n v="265"/>
    <n v="88.333333333333329"/>
    <n v="0.8833333333333333"/>
    <n v="69"/>
  </r>
  <r>
    <x v="0"/>
    <x v="0"/>
    <s v="bachelor's degree"/>
    <s v="standard"/>
    <x v="0"/>
    <n v="86"/>
    <n v="92"/>
    <n v="87"/>
    <n v="265"/>
    <n v="88.333333333333329"/>
    <n v="0.8833333333333333"/>
    <n v="69"/>
  </r>
  <r>
    <x v="1"/>
    <x v="1"/>
    <s v="bachelor's degree"/>
    <s v="free/reduced"/>
    <x v="1"/>
    <n v="87"/>
    <n v="90"/>
    <n v="88"/>
    <n v="265"/>
    <n v="88.333333333333329"/>
    <n v="0.8833333333333333"/>
    <n v="69"/>
  </r>
  <r>
    <x v="0"/>
    <x v="3"/>
    <s v="some college"/>
    <s v="standard"/>
    <x v="0"/>
    <n v="87"/>
    <n v="85"/>
    <n v="93"/>
    <n v="265"/>
    <n v="88.333333333333329"/>
    <n v="0.8833333333333333"/>
    <n v="69"/>
  </r>
  <r>
    <x v="0"/>
    <x v="4"/>
    <s v="master's degree"/>
    <s v="standard"/>
    <x v="0"/>
    <n v="78"/>
    <n v="91"/>
    <n v="96"/>
    <n v="265"/>
    <n v="88.333333333333329"/>
    <n v="0.8833333333333333"/>
    <n v="69"/>
  </r>
  <r>
    <x v="1"/>
    <x v="3"/>
    <s v="some college"/>
    <s v="standard"/>
    <x v="0"/>
    <n v="97"/>
    <n v="87"/>
    <n v="82"/>
    <n v="266"/>
    <n v="88.666666666666671"/>
    <n v="0.88666666666666671"/>
    <n v="64"/>
  </r>
  <r>
    <x v="0"/>
    <x v="0"/>
    <s v="some college"/>
    <s v="standard"/>
    <x v="0"/>
    <n v="82"/>
    <n v="90"/>
    <n v="94"/>
    <n v="266"/>
    <n v="88.666666666666671"/>
    <n v="0.88666666666666671"/>
    <n v="64"/>
  </r>
  <r>
    <x v="0"/>
    <x v="0"/>
    <s v="bachelor's degree"/>
    <s v="standard"/>
    <x v="1"/>
    <n v="77"/>
    <n v="94"/>
    <n v="95"/>
    <n v="266"/>
    <n v="88.666666666666671"/>
    <n v="0.88666666666666671"/>
    <n v="64"/>
  </r>
  <r>
    <x v="0"/>
    <x v="4"/>
    <s v="associate's degree"/>
    <s v="standard"/>
    <x v="0"/>
    <n v="82"/>
    <n v="95"/>
    <n v="89"/>
    <n v="266"/>
    <n v="88.666666666666671"/>
    <n v="0.88666666666666671"/>
    <n v="64"/>
  </r>
  <r>
    <x v="1"/>
    <x v="3"/>
    <s v="some college"/>
    <s v="free/reduced"/>
    <x v="0"/>
    <n v="93"/>
    <n v="90"/>
    <n v="83"/>
    <n v="266"/>
    <n v="88.666666666666671"/>
    <n v="0.88666666666666671"/>
    <n v="64"/>
  </r>
  <r>
    <x v="1"/>
    <x v="3"/>
    <s v="associate's degree"/>
    <s v="standard"/>
    <x v="1"/>
    <n v="97"/>
    <n v="82"/>
    <n v="88"/>
    <n v="267"/>
    <n v="89"/>
    <n v="0.89"/>
    <n v="59"/>
  </r>
  <r>
    <x v="1"/>
    <x v="3"/>
    <s v="some college"/>
    <s v="standard"/>
    <x v="1"/>
    <n v="99"/>
    <n v="87"/>
    <n v="81"/>
    <n v="267"/>
    <n v="89"/>
    <n v="0.89"/>
    <n v="59"/>
  </r>
  <r>
    <x v="1"/>
    <x v="0"/>
    <s v="some college"/>
    <s v="standard"/>
    <x v="1"/>
    <n v="93"/>
    <n v="84"/>
    <n v="90"/>
    <n v="267"/>
    <n v="89"/>
    <n v="0.89"/>
    <n v="59"/>
  </r>
  <r>
    <x v="1"/>
    <x v="1"/>
    <s v="some high school"/>
    <s v="standard"/>
    <x v="1"/>
    <n v="94"/>
    <n v="86"/>
    <n v="87"/>
    <n v="267"/>
    <n v="89"/>
    <n v="0.89"/>
    <n v="59"/>
  </r>
  <r>
    <x v="0"/>
    <x v="2"/>
    <s v="some high school"/>
    <s v="standard"/>
    <x v="1"/>
    <n v="85"/>
    <n v="90"/>
    <n v="92"/>
    <n v="267"/>
    <n v="89"/>
    <n v="0.89"/>
    <n v="59"/>
  </r>
  <r>
    <x v="0"/>
    <x v="1"/>
    <s v="high school"/>
    <s v="standard"/>
    <x v="0"/>
    <n v="87"/>
    <n v="95"/>
    <n v="86"/>
    <n v="268"/>
    <n v="89.333333333333329"/>
    <n v="0.89333333333333331"/>
    <n v="55"/>
  </r>
  <r>
    <x v="0"/>
    <x v="0"/>
    <s v="associate's degree"/>
    <s v="free/reduced"/>
    <x v="1"/>
    <n v="82"/>
    <n v="93"/>
    <n v="93"/>
    <n v="268"/>
    <n v="89.333333333333329"/>
    <n v="0.89333333333333331"/>
    <n v="55"/>
  </r>
  <r>
    <x v="0"/>
    <x v="1"/>
    <s v="master's degree"/>
    <s v="free/reduced"/>
    <x v="1"/>
    <n v="77"/>
    <n v="97"/>
    <n v="94"/>
    <n v="268"/>
    <n v="89.333333333333329"/>
    <n v="0.89333333333333331"/>
    <n v="55"/>
  </r>
  <r>
    <x v="0"/>
    <x v="2"/>
    <s v="associate's degree"/>
    <s v="standard"/>
    <x v="0"/>
    <n v="82"/>
    <n v="93"/>
    <n v="93"/>
    <n v="268"/>
    <n v="89.333333333333329"/>
    <n v="0.89333333333333331"/>
    <n v="55"/>
  </r>
  <r>
    <x v="0"/>
    <x v="0"/>
    <s v="associate's degree"/>
    <s v="standard"/>
    <x v="0"/>
    <n v="85"/>
    <n v="89"/>
    <n v="95"/>
    <n v="269"/>
    <n v="89.666666666666671"/>
    <n v="0.89666666666666661"/>
    <n v="53"/>
  </r>
  <r>
    <x v="0"/>
    <x v="4"/>
    <s v="some college"/>
    <s v="standard"/>
    <x v="1"/>
    <n v="85"/>
    <n v="86"/>
    <n v="98"/>
    <n v="269"/>
    <n v="89.666666666666671"/>
    <n v="0.89666666666666661"/>
    <n v="53"/>
  </r>
  <r>
    <x v="0"/>
    <x v="0"/>
    <s v="some high school"/>
    <s v="standard"/>
    <x v="1"/>
    <n v="85"/>
    <n v="92"/>
    <n v="93"/>
    <n v="270"/>
    <n v="90"/>
    <n v="0.9"/>
    <n v="51"/>
  </r>
  <r>
    <x v="0"/>
    <x v="0"/>
    <s v="some college"/>
    <s v="standard"/>
    <x v="1"/>
    <n v="87"/>
    <n v="89"/>
    <n v="94"/>
    <n v="270"/>
    <n v="90"/>
    <n v="0.9"/>
    <n v="51"/>
  </r>
  <r>
    <x v="0"/>
    <x v="0"/>
    <s v="bachelor's degree"/>
    <s v="standard"/>
    <x v="0"/>
    <n v="83"/>
    <n v="93"/>
    <n v="95"/>
    <n v="271"/>
    <n v="90.333333333333329"/>
    <n v="0.90333333333333332"/>
    <n v="48"/>
  </r>
  <r>
    <x v="0"/>
    <x v="1"/>
    <s v="associate's degree"/>
    <s v="standard"/>
    <x v="1"/>
    <n v="90"/>
    <n v="90"/>
    <n v="91"/>
    <n v="271"/>
    <n v="90.333333333333329"/>
    <n v="0.90333333333333332"/>
    <n v="48"/>
  </r>
  <r>
    <x v="0"/>
    <x v="3"/>
    <s v="associate's degree"/>
    <s v="standard"/>
    <x v="0"/>
    <n v="84"/>
    <n v="95"/>
    <n v="92"/>
    <n v="271"/>
    <n v="90.333333333333329"/>
    <n v="0.90333333333333332"/>
    <n v="48"/>
  </r>
  <r>
    <x v="1"/>
    <x v="1"/>
    <s v="associate's degree"/>
    <s v="standard"/>
    <x v="1"/>
    <n v="91"/>
    <n v="89"/>
    <n v="92"/>
    <n v="272"/>
    <n v="90.666666666666671"/>
    <n v="0.90666666666666662"/>
    <n v="47"/>
  </r>
  <r>
    <x v="0"/>
    <x v="1"/>
    <s v="associate's degree"/>
    <s v="standard"/>
    <x v="1"/>
    <n v="94"/>
    <n v="87"/>
    <n v="92"/>
    <n v="273"/>
    <n v="91"/>
    <n v="0.91"/>
    <n v="46"/>
  </r>
  <r>
    <x v="1"/>
    <x v="0"/>
    <s v="some college"/>
    <s v="standard"/>
    <x v="1"/>
    <n v="98"/>
    <n v="86"/>
    <n v="90"/>
    <n v="274"/>
    <n v="91.333333333333329"/>
    <n v="0.91333333333333333"/>
    <n v="43"/>
  </r>
  <r>
    <x v="0"/>
    <x v="0"/>
    <s v="some college"/>
    <s v="standard"/>
    <x v="1"/>
    <n v="88"/>
    <n v="93"/>
    <n v="93"/>
    <n v="274"/>
    <n v="91.333333333333329"/>
    <n v="0.91333333333333333"/>
    <n v="43"/>
  </r>
  <r>
    <x v="0"/>
    <x v="4"/>
    <s v="some high school"/>
    <s v="standard"/>
    <x v="0"/>
    <n v="81"/>
    <n v="97"/>
    <n v="96"/>
    <n v="274"/>
    <n v="91.333333333333329"/>
    <n v="0.91333333333333333"/>
    <n v="43"/>
  </r>
  <r>
    <x v="0"/>
    <x v="1"/>
    <s v="some college"/>
    <s v="standard"/>
    <x v="1"/>
    <n v="88"/>
    <n v="95"/>
    <n v="92"/>
    <n v="275"/>
    <n v="91.666666666666671"/>
    <n v="0.91666666666666663"/>
    <n v="37"/>
  </r>
  <r>
    <x v="0"/>
    <x v="4"/>
    <s v="associate's degree"/>
    <s v="standard"/>
    <x v="1"/>
    <n v="88"/>
    <n v="92"/>
    <n v="95"/>
    <n v="275"/>
    <n v="91.666666666666671"/>
    <n v="0.91666666666666663"/>
    <n v="37"/>
  </r>
  <r>
    <x v="0"/>
    <x v="4"/>
    <s v="some college"/>
    <s v="standard"/>
    <x v="1"/>
    <n v="82"/>
    <n v="97"/>
    <n v="96"/>
    <n v="275"/>
    <n v="91.666666666666671"/>
    <n v="0.91666666666666663"/>
    <n v="37"/>
  </r>
  <r>
    <x v="1"/>
    <x v="2"/>
    <s v="associate's degree"/>
    <s v="standard"/>
    <x v="1"/>
    <n v="97"/>
    <n v="92"/>
    <n v="86"/>
    <n v="275"/>
    <n v="91.666666666666671"/>
    <n v="0.91666666666666663"/>
    <n v="37"/>
  </r>
  <r>
    <x v="1"/>
    <x v="0"/>
    <s v="bachelor's degree"/>
    <s v="standard"/>
    <x v="1"/>
    <n v="94"/>
    <n v="90"/>
    <n v="91"/>
    <n v="275"/>
    <n v="91.666666666666671"/>
    <n v="0.91666666666666663"/>
    <n v="37"/>
  </r>
  <r>
    <x v="1"/>
    <x v="0"/>
    <s v="associate's degree"/>
    <s v="standard"/>
    <x v="1"/>
    <n v="98"/>
    <n v="87"/>
    <n v="90"/>
    <n v="275"/>
    <n v="91.666666666666671"/>
    <n v="0.91666666666666663"/>
    <n v="37"/>
  </r>
  <r>
    <x v="0"/>
    <x v="3"/>
    <s v="associate's degree"/>
    <s v="standard"/>
    <x v="1"/>
    <n v="95"/>
    <n v="89"/>
    <n v="92"/>
    <n v="276"/>
    <n v="92"/>
    <n v="0.92"/>
    <n v="35"/>
  </r>
  <r>
    <x v="0"/>
    <x v="3"/>
    <s v="associate's degree"/>
    <s v="standard"/>
    <x v="0"/>
    <n v="87"/>
    <n v="94"/>
    <n v="95"/>
    <n v="276"/>
    <n v="92"/>
    <n v="0.92"/>
    <n v="35"/>
  </r>
  <r>
    <x v="0"/>
    <x v="0"/>
    <s v="some college"/>
    <s v="standard"/>
    <x v="1"/>
    <n v="88"/>
    <n v="95"/>
    <n v="94"/>
    <n v="277"/>
    <n v="92.333333333333329"/>
    <n v="0.92333333333333334"/>
    <n v="34"/>
  </r>
  <r>
    <x v="0"/>
    <x v="1"/>
    <s v="master's degree"/>
    <s v="standard"/>
    <x v="0"/>
    <n v="90"/>
    <n v="95"/>
    <n v="93"/>
    <n v="278"/>
    <n v="92.666666666666671"/>
    <n v="0.92666666666666664"/>
    <n v="31"/>
  </r>
  <r>
    <x v="1"/>
    <x v="0"/>
    <s v="bachelor's degree"/>
    <s v="standard"/>
    <x v="1"/>
    <n v="96"/>
    <n v="90"/>
    <n v="92"/>
    <n v="278"/>
    <n v="92.666666666666671"/>
    <n v="0.92666666666666664"/>
    <n v="31"/>
  </r>
  <r>
    <x v="1"/>
    <x v="1"/>
    <s v="some college"/>
    <s v="standard"/>
    <x v="1"/>
    <n v="91"/>
    <n v="96"/>
    <n v="91"/>
    <n v="278"/>
    <n v="92.666666666666671"/>
    <n v="0.92666666666666664"/>
    <n v="31"/>
  </r>
  <r>
    <x v="1"/>
    <x v="2"/>
    <s v="bachelor's degree"/>
    <s v="standard"/>
    <x v="0"/>
    <n v="91"/>
    <n v="96"/>
    <n v="92"/>
    <n v="279"/>
    <n v="93"/>
    <n v="0.93"/>
    <n v="30"/>
  </r>
  <r>
    <x v="0"/>
    <x v="4"/>
    <s v="master's degree"/>
    <s v="free/reduced"/>
    <x v="1"/>
    <n v="85"/>
    <n v="95"/>
    <n v="100"/>
    <n v="280"/>
    <n v="93.333333333333329"/>
    <n v="0.93333333333333335"/>
    <n v="28"/>
  </r>
  <r>
    <x v="0"/>
    <x v="0"/>
    <s v="associate's degree"/>
    <s v="standard"/>
    <x v="0"/>
    <n v="91"/>
    <n v="95"/>
    <n v="94"/>
    <n v="280"/>
    <n v="93.333333333333329"/>
    <n v="0.93333333333333335"/>
    <n v="28"/>
  </r>
  <r>
    <x v="1"/>
    <x v="0"/>
    <s v="associate's degree"/>
    <s v="standard"/>
    <x v="0"/>
    <n v="97"/>
    <n v="93"/>
    <n v="91"/>
    <n v="281"/>
    <n v="93.666666666666671"/>
    <n v="0.93666666666666665"/>
    <n v="27"/>
  </r>
  <r>
    <x v="0"/>
    <x v="3"/>
    <s v="high school"/>
    <s v="standard"/>
    <x v="0"/>
    <n v="99"/>
    <n v="93"/>
    <n v="90"/>
    <n v="282"/>
    <n v="94"/>
    <n v="0.94"/>
    <n v="23"/>
  </r>
  <r>
    <x v="1"/>
    <x v="0"/>
    <s v="associate's degree"/>
    <s v="standard"/>
    <x v="1"/>
    <n v="87"/>
    <n v="100"/>
    <n v="95"/>
    <n v="282"/>
    <n v="94"/>
    <n v="0.94"/>
    <n v="23"/>
  </r>
  <r>
    <x v="1"/>
    <x v="2"/>
    <s v="some college"/>
    <s v="standard"/>
    <x v="1"/>
    <n v="100"/>
    <n v="96"/>
    <n v="86"/>
    <n v="282"/>
    <n v="94"/>
    <n v="0.94"/>
    <n v="23"/>
  </r>
  <r>
    <x v="0"/>
    <x v="3"/>
    <s v="master's degree"/>
    <s v="standard"/>
    <x v="1"/>
    <n v="88"/>
    <n v="99"/>
    <n v="95"/>
    <n v="282"/>
    <n v="94"/>
    <n v="0.94"/>
    <n v="23"/>
  </r>
  <r>
    <x v="0"/>
    <x v="4"/>
    <s v="master's degree"/>
    <s v="standard"/>
    <x v="0"/>
    <n v="87"/>
    <n v="100"/>
    <n v="100"/>
    <n v="287"/>
    <n v="95.666666666666671"/>
    <n v="0.95666666666666667"/>
    <n v="21"/>
  </r>
  <r>
    <x v="0"/>
    <x v="4"/>
    <s v="high school"/>
    <s v="standard"/>
    <x v="1"/>
    <n v="88"/>
    <n v="99"/>
    <n v="100"/>
    <n v="287"/>
    <n v="95.666666666666671"/>
    <n v="0.95666666666666667"/>
    <n v="21"/>
  </r>
  <r>
    <x v="0"/>
    <x v="3"/>
    <s v="associate's degree"/>
    <s v="standard"/>
    <x v="1"/>
    <n v="93"/>
    <n v="100"/>
    <n v="95"/>
    <n v="288"/>
    <n v="96"/>
    <n v="0.96"/>
    <n v="20"/>
  </r>
  <r>
    <x v="0"/>
    <x v="3"/>
    <s v="some college"/>
    <s v="standard"/>
    <x v="0"/>
    <n v="100"/>
    <n v="92"/>
    <n v="97"/>
    <n v="289"/>
    <n v="96.333333333333329"/>
    <n v="0.96333333333333337"/>
    <n v="17"/>
  </r>
  <r>
    <x v="0"/>
    <x v="2"/>
    <s v="some high school"/>
    <s v="standard"/>
    <x v="1"/>
    <n v="92"/>
    <n v="100"/>
    <n v="97"/>
    <n v="289"/>
    <n v="96.333333333333329"/>
    <n v="0.96333333333333337"/>
    <n v="17"/>
  </r>
  <r>
    <x v="0"/>
    <x v="4"/>
    <s v="bachelor's degree"/>
    <s v="standard"/>
    <x v="0"/>
    <n v="89"/>
    <n v="100"/>
    <n v="100"/>
    <n v="289"/>
    <n v="96.333333333333329"/>
    <n v="0.96333333333333337"/>
    <n v="17"/>
  </r>
  <r>
    <x v="0"/>
    <x v="1"/>
    <s v="bachelor's degree"/>
    <s v="standard"/>
    <x v="0"/>
    <n v="97"/>
    <n v="97"/>
    <n v="96"/>
    <n v="290"/>
    <n v="96.666666666666671"/>
    <n v="0.96666666666666667"/>
    <n v="16"/>
  </r>
  <r>
    <x v="0"/>
    <x v="0"/>
    <s v="bachelor's degree"/>
    <s v="standard"/>
    <x v="1"/>
    <n v="92"/>
    <n v="100"/>
    <n v="99"/>
    <n v="291"/>
    <n v="97"/>
    <n v="0.97"/>
    <n v="14"/>
  </r>
  <r>
    <x v="0"/>
    <x v="0"/>
    <s v="associate's degree"/>
    <s v="standard"/>
    <x v="1"/>
    <n v="96"/>
    <n v="96"/>
    <n v="99"/>
    <n v="291"/>
    <n v="97"/>
    <n v="0.97"/>
    <n v="14"/>
  </r>
  <r>
    <x v="0"/>
    <x v="3"/>
    <s v="bachelor's degree"/>
    <s v="free/reduced"/>
    <x v="1"/>
    <n v="92"/>
    <n v="100"/>
    <n v="100"/>
    <n v="292"/>
    <n v="97.333333333333329"/>
    <n v="0.97333333333333338"/>
    <n v="12"/>
  </r>
  <r>
    <x v="0"/>
    <x v="4"/>
    <s v="master's degree"/>
    <s v="standard"/>
    <x v="0"/>
    <n v="92"/>
    <n v="100"/>
    <n v="100"/>
    <n v="292"/>
    <n v="97.333333333333329"/>
    <n v="0.97333333333333338"/>
    <n v="12"/>
  </r>
  <r>
    <x v="1"/>
    <x v="3"/>
    <s v="associate's degree"/>
    <s v="free/reduced"/>
    <x v="1"/>
    <n v="100"/>
    <n v="100"/>
    <n v="93"/>
    <n v="293"/>
    <n v="97.666666666666671"/>
    <n v="0.97666666666666668"/>
    <n v="9"/>
  </r>
  <r>
    <x v="0"/>
    <x v="3"/>
    <s v="master's degree"/>
    <s v="standard"/>
    <x v="1"/>
    <n v="94"/>
    <n v="99"/>
    <n v="100"/>
    <n v="293"/>
    <n v="97.666666666666671"/>
    <n v="0.97666666666666668"/>
    <n v="9"/>
  </r>
  <r>
    <x v="0"/>
    <x v="4"/>
    <s v="bachelor's degree"/>
    <s v="free/reduced"/>
    <x v="1"/>
    <n v="93"/>
    <n v="100"/>
    <n v="100"/>
    <n v="293"/>
    <n v="97.666666666666671"/>
    <n v="0.97666666666666668"/>
    <n v="9"/>
  </r>
  <r>
    <x v="0"/>
    <x v="0"/>
    <s v="bachelor's degree"/>
    <s v="standard"/>
    <x v="1"/>
    <n v="96"/>
    <n v="100"/>
    <n v="100"/>
    <n v="296"/>
    <n v="98.666666666666671"/>
    <n v="0.98666666666666669"/>
    <n v="7"/>
  </r>
  <r>
    <x v="1"/>
    <x v="4"/>
    <s v="some college"/>
    <s v="standard"/>
    <x v="1"/>
    <n v="100"/>
    <n v="97"/>
    <n v="99"/>
    <n v="296"/>
    <n v="98.666666666666671"/>
    <n v="0.98666666666666669"/>
    <n v="7"/>
  </r>
  <r>
    <x v="0"/>
    <x v="4"/>
    <s v="some high school"/>
    <s v="standard"/>
    <x v="1"/>
    <n v="97"/>
    <n v="100"/>
    <n v="100"/>
    <n v="297"/>
    <n v="99"/>
    <n v="0.99"/>
    <n v="5"/>
  </r>
  <r>
    <x v="0"/>
    <x v="4"/>
    <s v="some college"/>
    <s v="standard"/>
    <x v="0"/>
    <n v="98"/>
    <n v="100"/>
    <n v="99"/>
    <n v="297"/>
    <n v="99"/>
    <n v="0.99"/>
    <n v="5"/>
  </r>
  <r>
    <x v="0"/>
    <x v="3"/>
    <s v="bachelor's degree"/>
    <s v="standard"/>
    <x v="1"/>
    <n v="99"/>
    <n v="100"/>
    <n v="100"/>
    <n v="299"/>
    <n v="99.666666666666671"/>
    <n v="0.9966666666666667"/>
    <n v="4"/>
  </r>
  <r>
    <x v="0"/>
    <x v="3"/>
    <s v="bachelor's degree"/>
    <s v="standard"/>
    <x v="0"/>
    <n v="100"/>
    <n v="100"/>
    <n v="100"/>
    <n v="300"/>
    <n v="100"/>
    <n v="1"/>
    <n v="1"/>
  </r>
  <r>
    <x v="1"/>
    <x v="3"/>
    <s v="bachelor's degree"/>
    <s v="standard"/>
    <x v="1"/>
    <n v="100"/>
    <n v="100"/>
    <n v="100"/>
    <n v="300"/>
    <n v="100"/>
    <n v="1"/>
    <n v="1"/>
  </r>
  <r>
    <x v="0"/>
    <x v="3"/>
    <s v="associate's degree"/>
    <s v="standard"/>
    <x v="0"/>
    <n v="100"/>
    <n v="100"/>
    <n v="100"/>
    <n v="300"/>
    <n v="100"/>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4B896-CF42-460E-9325-9187FDDC6EA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3" firstHeaderRow="1" firstDataRow="1" firstDataCol="1"/>
  <pivotFields count="12">
    <pivotField showAll="0">
      <items count="3">
        <item x="0"/>
        <item x="1"/>
        <item t="default"/>
      </items>
    </pivotField>
    <pivotField showAll="0">
      <items count="6">
        <item x="2"/>
        <item x="1"/>
        <item x="0"/>
        <item x="4"/>
        <item x="3"/>
        <item t="default"/>
      </items>
    </pivotField>
    <pivotField showAll="0"/>
    <pivotField showAll="0"/>
    <pivotField axis="axisRow" showAll="0">
      <items count="3">
        <item x="1"/>
        <item x="0"/>
        <item t="default"/>
      </items>
    </pivotField>
    <pivotField showAll="0"/>
    <pivotField showAll="0"/>
    <pivotField showAll="0"/>
    <pivotField showAll="0"/>
    <pivotField dataField="1" numFmtId="2" showAll="0"/>
    <pivotField numFmtId="10" showAll="0"/>
    <pivotField showAll="0"/>
  </pivotFields>
  <rowFields count="1">
    <field x="4"/>
  </rowFields>
  <rowItems count="3">
    <i>
      <x/>
    </i>
    <i>
      <x v="1"/>
    </i>
    <i t="grand">
      <x/>
    </i>
  </rowItems>
  <colItems count="1">
    <i/>
  </colItems>
  <dataFields count="1">
    <dataField name=" Average  Scores" fld="9" subtotal="average" baseField="4"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859CD2-9A7E-4143-8400-3902839D135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6" firstHeaderRow="1" firstDataRow="1" firstDataCol="1"/>
  <pivotFields count="12">
    <pivotField showAll="0">
      <items count="3">
        <item x="0"/>
        <item x="1"/>
        <item t="default"/>
      </items>
    </pivotField>
    <pivotField axis="axisRow" showAll="0">
      <items count="6">
        <item x="2"/>
        <item x="1"/>
        <item x="0"/>
        <item x="4"/>
        <item x="3"/>
        <item t="default"/>
      </items>
    </pivotField>
    <pivotField showAll="0"/>
    <pivotField showAll="0"/>
    <pivotField showAll="0">
      <items count="3">
        <item x="1"/>
        <item x="0"/>
        <item t="default"/>
      </items>
    </pivotField>
    <pivotField showAll="0"/>
    <pivotField showAll="0"/>
    <pivotField showAll="0"/>
    <pivotField showAll="0"/>
    <pivotField dataField="1" numFmtId="2" showAll="0"/>
    <pivotField numFmtId="10" showAll="0"/>
    <pivotField showAll="0"/>
  </pivotFields>
  <rowFields count="1">
    <field x="1"/>
  </rowFields>
  <rowItems count="6">
    <i>
      <x/>
    </i>
    <i>
      <x v="1"/>
    </i>
    <i>
      <x v="2"/>
    </i>
    <i>
      <x v="3"/>
    </i>
    <i>
      <x v="4"/>
    </i>
    <i t="grand">
      <x/>
    </i>
  </rowItems>
  <colItems count="1">
    <i/>
  </colItems>
  <dataFields count="1">
    <dataField name=" Average  Scores" fld="9" subtotal="average" baseField="1" baseItem="2"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2D2CB6-BF41-432B-BE43-B108D0361B9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2">
    <pivotField axis="axisRow" showAll="0">
      <items count="3">
        <item x="0"/>
        <item x="1"/>
        <item t="default"/>
      </items>
    </pivotField>
    <pivotField showAll="0">
      <items count="6">
        <item x="2"/>
        <item x="1"/>
        <item x="0"/>
        <item x="4"/>
        <item x="3"/>
        <item t="default"/>
      </items>
    </pivotField>
    <pivotField showAll="0"/>
    <pivotField showAll="0"/>
    <pivotField showAll="0">
      <items count="3">
        <item x="1"/>
        <item x="0"/>
        <item t="default"/>
      </items>
    </pivotField>
    <pivotField showAll="0"/>
    <pivotField showAll="0"/>
    <pivotField showAll="0"/>
    <pivotField showAll="0"/>
    <pivotField dataField="1" numFmtId="2" showAll="0"/>
    <pivotField numFmtId="10" showAll="0"/>
    <pivotField showAll="0"/>
  </pivotFields>
  <rowFields count="1">
    <field x="0"/>
  </rowFields>
  <rowItems count="3">
    <i>
      <x/>
    </i>
    <i>
      <x v="1"/>
    </i>
    <i t="grand">
      <x/>
    </i>
  </rowItems>
  <colItems count="1">
    <i/>
  </colItems>
  <dataFields count="1">
    <dataField name="Average Scores" fld="9" subtotal="average"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54D490-BCCD-4009-B494-4FBE03D019BB}" sourceName="gender">
  <pivotTables>
    <pivotTable tabId="3" name="PivotTable1"/>
    <pivotTable tabId="3" name="PivotTable2"/>
    <pivotTable tabId="3" name="PivotTable3"/>
  </pivotTables>
  <data>
    <tabular pivotCacheId="6241246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0854A3D3-3BA0-4C39-9F3C-E11EBD1AB271}" sourceName="race/ethnicity">
  <pivotTables>
    <pivotTable tabId="3" name="PivotTable1"/>
    <pivotTable tabId="3" name="PivotTable2"/>
    <pivotTable tabId="3" name="PivotTable3"/>
  </pivotTables>
  <data>
    <tabular pivotCacheId="624124695">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7CC5643C-E85F-44E5-BEA7-0CD12249A003}" sourceName="test preparation course">
  <pivotTables>
    <pivotTable tabId="3" name="PivotTable1"/>
    <pivotTable tabId="3" name="PivotTable2"/>
    <pivotTable tabId="3" name="PivotTable3"/>
  </pivotTables>
  <data>
    <tabular pivotCacheId="6241246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7B21006-730F-4834-800F-4341CEC51355}" cache="Slicer_gender" caption="gender" style="SlicerStyleDark3" rowHeight="247650"/>
  <slicer name="race/ethnicity" xr10:uid="{C546704E-DB97-4359-AF50-F5640A489645}" cache="Slicer_race_ethnicity" caption="race/ethnicity" style="SlicerStyleDark6" rowHeight="247650"/>
  <slicer name="test preparation course" xr10:uid="{8EE80009-FB40-4E69-94CC-D5B5EA0FE851}" cache="Slicer_test_preparation_course" caption="test preparation course"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2CB9-0817-4D4E-BEBB-08CC18E1D62C}">
  <sheetPr>
    <tabColor theme="1" tint="0.14999847407452621"/>
  </sheetPr>
  <dimension ref="A1:H1001"/>
  <sheetViews>
    <sheetView workbookViewId="0">
      <selection sqref="A1:H1"/>
    </sheetView>
  </sheetViews>
  <sheetFormatPr defaultRowHeight="14.4" x14ac:dyDescent="0.3"/>
  <cols>
    <col min="1" max="1" width="6.5546875" bestFit="1" customWidth="1"/>
    <col min="2" max="2" width="12.109375" bestFit="1" customWidth="1"/>
    <col min="3" max="3" width="22.21875" bestFit="1" customWidth="1"/>
    <col min="4" max="4" width="11.5546875" bestFit="1" customWidth="1"/>
    <col min="5" max="5" width="19.77734375" bestFit="1" customWidth="1"/>
    <col min="6" max="6" width="10" bestFit="1" customWidth="1"/>
    <col min="7" max="7" width="11.88671875" bestFit="1" customWidth="1"/>
    <col min="8" max="8" width="11.21875" bestFit="1" customWidth="1"/>
  </cols>
  <sheetData>
    <row r="1" spans="1:8" x14ac:dyDescent="0.3">
      <c r="A1" s="1" t="s">
        <v>0</v>
      </c>
      <c r="B1" s="1" t="s">
        <v>1</v>
      </c>
      <c r="C1" s="1" t="s">
        <v>2</v>
      </c>
      <c r="D1" s="1" t="s">
        <v>3</v>
      </c>
      <c r="E1" s="1" t="s">
        <v>4</v>
      </c>
      <c r="F1" s="1" t="s">
        <v>5</v>
      </c>
      <c r="G1" s="1" t="s">
        <v>6</v>
      </c>
      <c r="H1" s="1" t="s">
        <v>7</v>
      </c>
    </row>
    <row r="2" spans="1:8" x14ac:dyDescent="0.3">
      <c r="A2" s="1" t="s">
        <v>8</v>
      </c>
      <c r="B2" s="1" t="s">
        <v>9</v>
      </c>
      <c r="C2" s="1" t="s">
        <v>10</v>
      </c>
      <c r="D2" s="1" t="s">
        <v>11</v>
      </c>
      <c r="E2" s="1" t="s">
        <v>12</v>
      </c>
      <c r="F2" s="1">
        <v>72</v>
      </c>
      <c r="G2" s="1">
        <v>72</v>
      </c>
      <c r="H2" s="1">
        <v>74</v>
      </c>
    </row>
    <row r="3" spans="1:8" x14ac:dyDescent="0.3">
      <c r="A3" s="1" t="s">
        <v>8</v>
      </c>
      <c r="B3" s="1" t="s">
        <v>13</v>
      </c>
      <c r="C3" s="1" t="s">
        <v>14</v>
      </c>
      <c r="D3" s="1" t="s">
        <v>11</v>
      </c>
      <c r="E3" s="1" t="s">
        <v>15</v>
      </c>
      <c r="F3" s="1">
        <v>69</v>
      </c>
      <c r="G3" s="1">
        <v>90</v>
      </c>
      <c r="H3" s="1">
        <v>88</v>
      </c>
    </row>
    <row r="4" spans="1:8" x14ac:dyDescent="0.3">
      <c r="A4" s="1" t="s">
        <v>8</v>
      </c>
      <c r="B4" s="1" t="s">
        <v>9</v>
      </c>
      <c r="C4" s="1" t="s">
        <v>16</v>
      </c>
      <c r="D4" s="1" t="s">
        <v>11</v>
      </c>
      <c r="E4" s="1" t="s">
        <v>12</v>
      </c>
      <c r="F4" s="1">
        <v>90</v>
      </c>
      <c r="G4" s="1">
        <v>95</v>
      </c>
      <c r="H4" s="1">
        <v>93</v>
      </c>
    </row>
    <row r="5" spans="1:8" x14ac:dyDescent="0.3">
      <c r="A5" s="1" t="s">
        <v>17</v>
      </c>
      <c r="B5" s="1" t="s">
        <v>18</v>
      </c>
      <c r="C5" s="1" t="s">
        <v>19</v>
      </c>
      <c r="D5" s="1" t="s">
        <v>20</v>
      </c>
      <c r="E5" s="1" t="s">
        <v>12</v>
      </c>
      <c r="F5" s="1">
        <v>47</v>
      </c>
      <c r="G5" s="1">
        <v>57</v>
      </c>
      <c r="H5" s="1">
        <v>44</v>
      </c>
    </row>
    <row r="6" spans="1:8" x14ac:dyDescent="0.3">
      <c r="A6" s="1" t="s">
        <v>17</v>
      </c>
      <c r="B6" s="1" t="s">
        <v>13</v>
      </c>
      <c r="C6" s="1" t="s">
        <v>14</v>
      </c>
      <c r="D6" s="1" t="s">
        <v>11</v>
      </c>
      <c r="E6" s="1" t="s">
        <v>12</v>
      </c>
      <c r="F6" s="1">
        <v>76</v>
      </c>
      <c r="G6" s="1">
        <v>78</v>
      </c>
      <c r="H6" s="1">
        <v>75</v>
      </c>
    </row>
    <row r="7" spans="1:8" x14ac:dyDescent="0.3">
      <c r="A7" s="1" t="s">
        <v>8</v>
      </c>
      <c r="B7" s="1" t="s">
        <v>9</v>
      </c>
      <c r="C7" s="1" t="s">
        <v>19</v>
      </c>
      <c r="D7" s="1" t="s">
        <v>11</v>
      </c>
      <c r="E7" s="1" t="s">
        <v>12</v>
      </c>
      <c r="F7" s="1">
        <v>71</v>
      </c>
      <c r="G7" s="1">
        <v>83</v>
      </c>
      <c r="H7" s="1">
        <v>78</v>
      </c>
    </row>
    <row r="8" spans="1:8" x14ac:dyDescent="0.3">
      <c r="A8" s="1" t="s">
        <v>8</v>
      </c>
      <c r="B8" s="1" t="s">
        <v>9</v>
      </c>
      <c r="C8" s="1" t="s">
        <v>14</v>
      </c>
      <c r="D8" s="1" t="s">
        <v>11</v>
      </c>
      <c r="E8" s="1" t="s">
        <v>15</v>
      </c>
      <c r="F8" s="1">
        <v>88</v>
      </c>
      <c r="G8" s="1">
        <v>95</v>
      </c>
      <c r="H8" s="1">
        <v>92</v>
      </c>
    </row>
    <row r="9" spans="1:8" x14ac:dyDescent="0.3">
      <c r="A9" s="1" t="s">
        <v>17</v>
      </c>
      <c r="B9" s="1" t="s">
        <v>9</v>
      </c>
      <c r="C9" s="1" t="s">
        <v>14</v>
      </c>
      <c r="D9" s="1" t="s">
        <v>20</v>
      </c>
      <c r="E9" s="1" t="s">
        <v>12</v>
      </c>
      <c r="F9" s="1">
        <v>40</v>
      </c>
      <c r="G9" s="1">
        <v>43</v>
      </c>
      <c r="H9" s="1">
        <v>39</v>
      </c>
    </row>
    <row r="10" spans="1:8" x14ac:dyDescent="0.3">
      <c r="A10" s="1" t="s">
        <v>17</v>
      </c>
      <c r="B10" s="1" t="s">
        <v>21</v>
      </c>
      <c r="C10" s="1" t="s">
        <v>22</v>
      </c>
      <c r="D10" s="1" t="s">
        <v>20</v>
      </c>
      <c r="E10" s="1" t="s">
        <v>15</v>
      </c>
      <c r="F10" s="1">
        <v>64</v>
      </c>
      <c r="G10" s="1">
        <v>64</v>
      </c>
      <c r="H10" s="1">
        <v>67</v>
      </c>
    </row>
    <row r="11" spans="1:8" x14ac:dyDescent="0.3">
      <c r="A11" s="1" t="s">
        <v>8</v>
      </c>
      <c r="B11" s="1" t="s">
        <v>9</v>
      </c>
      <c r="C11" s="1" t="s">
        <v>22</v>
      </c>
      <c r="D11" s="1" t="s">
        <v>20</v>
      </c>
      <c r="E11" s="1" t="s">
        <v>12</v>
      </c>
      <c r="F11" s="1">
        <v>38</v>
      </c>
      <c r="G11" s="1">
        <v>60</v>
      </c>
      <c r="H11" s="1">
        <v>50</v>
      </c>
    </row>
    <row r="12" spans="1:8" x14ac:dyDescent="0.3">
      <c r="A12" s="1" t="s">
        <v>17</v>
      </c>
      <c r="B12" s="1" t="s">
        <v>13</v>
      </c>
      <c r="C12" s="1" t="s">
        <v>19</v>
      </c>
      <c r="D12" s="1" t="s">
        <v>11</v>
      </c>
      <c r="E12" s="1" t="s">
        <v>12</v>
      </c>
      <c r="F12" s="1">
        <v>58</v>
      </c>
      <c r="G12" s="1">
        <v>54</v>
      </c>
      <c r="H12" s="1">
        <v>52</v>
      </c>
    </row>
    <row r="13" spans="1:8" x14ac:dyDescent="0.3">
      <c r="A13" s="1" t="s">
        <v>17</v>
      </c>
      <c r="B13" s="1" t="s">
        <v>21</v>
      </c>
      <c r="C13" s="1" t="s">
        <v>19</v>
      </c>
      <c r="D13" s="1" t="s">
        <v>11</v>
      </c>
      <c r="E13" s="1" t="s">
        <v>12</v>
      </c>
      <c r="F13" s="1">
        <v>40</v>
      </c>
      <c r="G13" s="1">
        <v>52</v>
      </c>
      <c r="H13" s="1">
        <v>43</v>
      </c>
    </row>
    <row r="14" spans="1:8" x14ac:dyDescent="0.3">
      <c r="A14" s="1" t="s">
        <v>8</v>
      </c>
      <c r="B14" s="1" t="s">
        <v>9</v>
      </c>
      <c r="C14" s="1" t="s">
        <v>22</v>
      </c>
      <c r="D14" s="1" t="s">
        <v>11</v>
      </c>
      <c r="E14" s="1" t="s">
        <v>12</v>
      </c>
      <c r="F14" s="1">
        <v>65</v>
      </c>
      <c r="G14" s="1">
        <v>81</v>
      </c>
      <c r="H14" s="1">
        <v>73</v>
      </c>
    </row>
    <row r="15" spans="1:8" x14ac:dyDescent="0.3">
      <c r="A15" s="1" t="s">
        <v>17</v>
      </c>
      <c r="B15" s="1" t="s">
        <v>18</v>
      </c>
      <c r="C15" s="1" t="s">
        <v>14</v>
      </c>
      <c r="D15" s="1" t="s">
        <v>11</v>
      </c>
      <c r="E15" s="1" t="s">
        <v>15</v>
      </c>
      <c r="F15" s="1">
        <v>78</v>
      </c>
      <c r="G15" s="1">
        <v>72</v>
      </c>
      <c r="H15" s="1">
        <v>70</v>
      </c>
    </row>
    <row r="16" spans="1:8" x14ac:dyDescent="0.3">
      <c r="A16" s="1" t="s">
        <v>8</v>
      </c>
      <c r="B16" s="1" t="s">
        <v>18</v>
      </c>
      <c r="C16" s="1" t="s">
        <v>16</v>
      </c>
      <c r="D16" s="1" t="s">
        <v>11</v>
      </c>
      <c r="E16" s="1" t="s">
        <v>12</v>
      </c>
      <c r="F16" s="1">
        <v>50</v>
      </c>
      <c r="G16" s="1">
        <v>53</v>
      </c>
      <c r="H16" s="1">
        <v>58</v>
      </c>
    </row>
    <row r="17" spans="1:8" x14ac:dyDescent="0.3">
      <c r="A17" s="1" t="s">
        <v>8</v>
      </c>
      <c r="B17" s="1" t="s">
        <v>13</v>
      </c>
      <c r="C17" s="1" t="s">
        <v>23</v>
      </c>
      <c r="D17" s="1" t="s">
        <v>11</v>
      </c>
      <c r="E17" s="1" t="s">
        <v>12</v>
      </c>
      <c r="F17" s="1">
        <v>69</v>
      </c>
      <c r="G17" s="1">
        <v>75</v>
      </c>
      <c r="H17" s="1">
        <v>78</v>
      </c>
    </row>
    <row r="18" spans="1:8" x14ac:dyDescent="0.3">
      <c r="A18" s="1" t="s">
        <v>17</v>
      </c>
      <c r="B18" s="1" t="s">
        <v>13</v>
      </c>
      <c r="C18" s="1" t="s">
        <v>22</v>
      </c>
      <c r="D18" s="1" t="s">
        <v>11</v>
      </c>
      <c r="E18" s="1" t="s">
        <v>12</v>
      </c>
      <c r="F18" s="1">
        <v>88</v>
      </c>
      <c r="G18" s="1">
        <v>89</v>
      </c>
      <c r="H18" s="1">
        <v>86</v>
      </c>
    </row>
    <row r="19" spans="1:8" x14ac:dyDescent="0.3">
      <c r="A19" s="1" t="s">
        <v>8</v>
      </c>
      <c r="B19" s="1" t="s">
        <v>9</v>
      </c>
      <c r="C19" s="1" t="s">
        <v>23</v>
      </c>
      <c r="D19" s="1" t="s">
        <v>20</v>
      </c>
      <c r="E19" s="1" t="s">
        <v>12</v>
      </c>
      <c r="F19" s="1">
        <v>18</v>
      </c>
      <c r="G19" s="1">
        <v>32</v>
      </c>
      <c r="H19" s="1">
        <v>28</v>
      </c>
    </row>
    <row r="20" spans="1:8" x14ac:dyDescent="0.3">
      <c r="A20" s="1" t="s">
        <v>17</v>
      </c>
      <c r="B20" s="1" t="s">
        <v>13</v>
      </c>
      <c r="C20" s="1" t="s">
        <v>16</v>
      </c>
      <c r="D20" s="1" t="s">
        <v>20</v>
      </c>
      <c r="E20" s="1" t="s">
        <v>15</v>
      </c>
      <c r="F20" s="1">
        <v>46</v>
      </c>
      <c r="G20" s="1">
        <v>42</v>
      </c>
      <c r="H20" s="1">
        <v>46</v>
      </c>
    </row>
    <row r="21" spans="1:8" x14ac:dyDescent="0.3">
      <c r="A21" s="1" t="s">
        <v>8</v>
      </c>
      <c r="B21" s="1" t="s">
        <v>13</v>
      </c>
      <c r="C21" s="1" t="s">
        <v>19</v>
      </c>
      <c r="D21" s="1" t="s">
        <v>20</v>
      </c>
      <c r="E21" s="1" t="s">
        <v>12</v>
      </c>
      <c r="F21" s="1">
        <v>54</v>
      </c>
      <c r="G21" s="1">
        <v>58</v>
      </c>
      <c r="H21" s="1">
        <v>61</v>
      </c>
    </row>
    <row r="22" spans="1:8" x14ac:dyDescent="0.3">
      <c r="A22" s="1" t="s">
        <v>17</v>
      </c>
      <c r="B22" s="1" t="s">
        <v>21</v>
      </c>
      <c r="C22" s="1" t="s">
        <v>22</v>
      </c>
      <c r="D22" s="1" t="s">
        <v>11</v>
      </c>
      <c r="E22" s="1" t="s">
        <v>12</v>
      </c>
      <c r="F22" s="1">
        <v>66</v>
      </c>
      <c r="G22" s="1">
        <v>69</v>
      </c>
      <c r="H22" s="1">
        <v>63</v>
      </c>
    </row>
    <row r="23" spans="1:8" x14ac:dyDescent="0.3">
      <c r="A23" s="1" t="s">
        <v>8</v>
      </c>
      <c r="B23" s="1" t="s">
        <v>9</v>
      </c>
      <c r="C23" s="1" t="s">
        <v>14</v>
      </c>
      <c r="D23" s="1" t="s">
        <v>20</v>
      </c>
      <c r="E23" s="1" t="s">
        <v>15</v>
      </c>
      <c r="F23" s="1">
        <v>65</v>
      </c>
      <c r="G23" s="1">
        <v>75</v>
      </c>
      <c r="H23" s="1">
        <v>70</v>
      </c>
    </row>
    <row r="24" spans="1:8" x14ac:dyDescent="0.3">
      <c r="A24" s="1" t="s">
        <v>17</v>
      </c>
      <c r="B24" s="1" t="s">
        <v>21</v>
      </c>
      <c r="C24" s="1" t="s">
        <v>14</v>
      </c>
      <c r="D24" s="1" t="s">
        <v>11</v>
      </c>
      <c r="E24" s="1" t="s">
        <v>12</v>
      </c>
      <c r="F24" s="1">
        <v>44</v>
      </c>
      <c r="G24" s="1">
        <v>54</v>
      </c>
      <c r="H24" s="1">
        <v>53</v>
      </c>
    </row>
    <row r="25" spans="1:8" x14ac:dyDescent="0.3">
      <c r="A25" s="1" t="s">
        <v>8</v>
      </c>
      <c r="B25" s="1" t="s">
        <v>13</v>
      </c>
      <c r="C25" s="1" t="s">
        <v>23</v>
      </c>
      <c r="D25" s="1" t="s">
        <v>11</v>
      </c>
      <c r="E25" s="1" t="s">
        <v>12</v>
      </c>
      <c r="F25" s="1">
        <v>69</v>
      </c>
      <c r="G25" s="1">
        <v>73</v>
      </c>
      <c r="H25" s="1">
        <v>73</v>
      </c>
    </row>
    <row r="26" spans="1:8" x14ac:dyDescent="0.3">
      <c r="A26" s="1" t="s">
        <v>17</v>
      </c>
      <c r="B26" s="1" t="s">
        <v>21</v>
      </c>
      <c r="C26" s="1" t="s">
        <v>10</v>
      </c>
      <c r="D26" s="1" t="s">
        <v>20</v>
      </c>
      <c r="E26" s="1" t="s">
        <v>15</v>
      </c>
      <c r="F26" s="1">
        <v>74</v>
      </c>
      <c r="G26" s="1">
        <v>71</v>
      </c>
      <c r="H26" s="1">
        <v>80</v>
      </c>
    </row>
    <row r="27" spans="1:8" x14ac:dyDescent="0.3">
      <c r="A27" s="1" t="s">
        <v>17</v>
      </c>
      <c r="B27" s="1" t="s">
        <v>18</v>
      </c>
      <c r="C27" s="1" t="s">
        <v>16</v>
      </c>
      <c r="D27" s="1" t="s">
        <v>20</v>
      </c>
      <c r="E27" s="1" t="s">
        <v>12</v>
      </c>
      <c r="F27" s="1">
        <v>73</v>
      </c>
      <c r="G27" s="1">
        <v>74</v>
      </c>
      <c r="H27" s="1">
        <v>72</v>
      </c>
    </row>
    <row r="28" spans="1:8" x14ac:dyDescent="0.3">
      <c r="A28" s="1" t="s">
        <v>17</v>
      </c>
      <c r="B28" s="1" t="s">
        <v>9</v>
      </c>
      <c r="C28" s="1" t="s">
        <v>14</v>
      </c>
      <c r="D28" s="1" t="s">
        <v>11</v>
      </c>
      <c r="E28" s="1" t="s">
        <v>12</v>
      </c>
      <c r="F28" s="1">
        <v>69</v>
      </c>
      <c r="G28" s="1">
        <v>54</v>
      </c>
      <c r="H28" s="1">
        <v>55</v>
      </c>
    </row>
    <row r="29" spans="1:8" x14ac:dyDescent="0.3">
      <c r="A29" s="1" t="s">
        <v>8</v>
      </c>
      <c r="B29" s="1" t="s">
        <v>13</v>
      </c>
      <c r="C29" s="1" t="s">
        <v>10</v>
      </c>
      <c r="D29" s="1" t="s">
        <v>11</v>
      </c>
      <c r="E29" s="1" t="s">
        <v>12</v>
      </c>
      <c r="F29" s="1">
        <v>67</v>
      </c>
      <c r="G29" s="1">
        <v>69</v>
      </c>
      <c r="H29" s="1">
        <v>75</v>
      </c>
    </row>
    <row r="30" spans="1:8" x14ac:dyDescent="0.3">
      <c r="A30" s="1" t="s">
        <v>17</v>
      </c>
      <c r="B30" s="1" t="s">
        <v>13</v>
      </c>
      <c r="C30" s="1" t="s">
        <v>22</v>
      </c>
      <c r="D30" s="1" t="s">
        <v>11</v>
      </c>
      <c r="E30" s="1" t="s">
        <v>12</v>
      </c>
      <c r="F30" s="1">
        <v>70</v>
      </c>
      <c r="G30" s="1">
        <v>70</v>
      </c>
      <c r="H30" s="1">
        <v>65</v>
      </c>
    </row>
    <row r="31" spans="1:8" x14ac:dyDescent="0.3">
      <c r="A31" s="1" t="s">
        <v>8</v>
      </c>
      <c r="B31" s="1" t="s">
        <v>21</v>
      </c>
      <c r="C31" s="1" t="s">
        <v>16</v>
      </c>
      <c r="D31" s="1" t="s">
        <v>11</v>
      </c>
      <c r="E31" s="1" t="s">
        <v>12</v>
      </c>
      <c r="F31" s="1">
        <v>62</v>
      </c>
      <c r="G31" s="1">
        <v>70</v>
      </c>
      <c r="H31" s="1">
        <v>75</v>
      </c>
    </row>
    <row r="32" spans="1:8" x14ac:dyDescent="0.3">
      <c r="A32" s="1" t="s">
        <v>8</v>
      </c>
      <c r="B32" s="1" t="s">
        <v>21</v>
      </c>
      <c r="C32" s="1" t="s">
        <v>14</v>
      </c>
      <c r="D32" s="1" t="s">
        <v>11</v>
      </c>
      <c r="E32" s="1" t="s">
        <v>12</v>
      </c>
      <c r="F32" s="1">
        <v>69</v>
      </c>
      <c r="G32" s="1">
        <v>74</v>
      </c>
      <c r="H32" s="1">
        <v>74</v>
      </c>
    </row>
    <row r="33" spans="1:8" x14ac:dyDescent="0.3">
      <c r="A33" s="1" t="s">
        <v>8</v>
      </c>
      <c r="B33" s="1" t="s">
        <v>9</v>
      </c>
      <c r="C33" s="1" t="s">
        <v>14</v>
      </c>
      <c r="D33" s="1" t="s">
        <v>11</v>
      </c>
      <c r="E33" s="1" t="s">
        <v>12</v>
      </c>
      <c r="F33" s="1">
        <v>63</v>
      </c>
      <c r="G33" s="1">
        <v>65</v>
      </c>
      <c r="H33" s="1">
        <v>61</v>
      </c>
    </row>
    <row r="34" spans="1:8" x14ac:dyDescent="0.3">
      <c r="A34" s="1" t="s">
        <v>8</v>
      </c>
      <c r="B34" s="1" t="s">
        <v>24</v>
      </c>
      <c r="C34" s="1" t="s">
        <v>16</v>
      </c>
      <c r="D34" s="1" t="s">
        <v>20</v>
      </c>
      <c r="E34" s="1" t="s">
        <v>12</v>
      </c>
      <c r="F34" s="1">
        <v>56</v>
      </c>
      <c r="G34" s="1">
        <v>72</v>
      </c>
      <c r="H34" s="1">
        <v>65</v>
      </c>
    </row>
    <row r="35" spans="1:8" x14ac:dyDescent="0.3">
      <c r="A35" s="1" t="s">
        <v>17</v>
      </c>
      <c r="B35" s="1" t="s">
        <v>21</v>
      </c>
      <c r="C35" s="1" t="s">
        <v>14</v>
      </c>
      <c r="D35" s="1" t="s">
        <v>11</v>
      </c>
      <c r="E35" s="1" t="s">
        <v>12</v>
      </c>
      <c r="F35" s="1">
        <v>40</v>
      </c>
      <c r="G35" s="1">
        <v>42</v>
      </c>
      <c r="H35" s="1">
        <v>38</v>
      </c>
    </row>
    <row r="36" spans="1:8" x14ac:dyDescent="0.3">
      <c r="A36" s="1" t="s">
        <v>17</v>
      </c>
      <c r="B36" s="1" t="s">
        <v>24</v>
      </c>
      <c r="C36" s="1" t="s">
        <v>14</v>
      </c>
      <c r="D36" s="1" t="s">
        <v>11</v>
      </c>
      <c r="E36" s="1" t="s">
        <v>12</v>
      </c>
      <c r="F36" s="1">
        <v>97</v>
      </c>
      <c r="G36" s="1">
        <v>87</v>
      </c>
      <c r="H36" s="1">
        <v>82</v>
      </c>
    </row>
    <row r="37" spans="1:8" x14ac:dyDescent="0.3">
      <c r="A37" s="1" t="s">
        <v>17</v>
      </c>
      <c r="B37" s="1" t="s">
        <v>24</v>
      </c>
      <c r="C37" s="1" t="s">
        <v>19</v>
      </c>
      <c r="D37" s="1" t="s">
        <v>11</v>
      </c>
      <c r="E37" s="1" t="s">
        <v>15</v>
      </c>
      <c r="F37" s="1">
        <v>81</v>
      </c>
      <c r="G37" s="1">
        <v>81</v>
      </c>
      <c r="H37" s="1">
        <v>79</v>
      </c>
    </row>
    <row r="38" spans="1:8" x14ac:dyDescent="0.3">
      <c r="A38" s="1" t="s">
        <v>8</v>
      </c>
      <c r="B38" s="1" t="s">
        <v>21</v>
      </c>
      <c r="C38" s="1" t="s">
        <v>19</v>
      </c>
      <c r="D38" s="1" t="s">
        <v>11</v>
      </c>
      <c r="E38" s="1" t="s">
        <v>12</v>
      </c>
      <c r="F38" s="1">
        <v>74</v>
      </c>
      <c r="G38" s="1">
        <v>81</v>
      </c>
      <c r="H38" s="1">
        <v>83</v>
      </c>
    </row>
    <row r="39" spans="1:8" x14ac:dyDescent="0.3">
      <c r="A39" s="1" t="s">
        <v>8</v>
      </c>
      <c r="B39" s="1" t="s">
        <v>21</v>
      </c>
      <c r="C39" s="1" t="s">
        <v>23</v>
      </c>
      <c r="D39" s="1" t="s">
        <v>20</v>
      </c>
      <c r="E39" s="1" t="s">
        <v>12</v>
      </c>
      <c r="F39" s="1">
        <v>50</v>
      </c>
      <c r="G39" s="1">
        <v>64</v>
      </c>
      <c r="H39" s="1">
        <v>59</v>
      </c>
    </row>
    <row r="40" spans="1:8" x14ac:dyDescent="0.3">
      <c r="A40" s="1" t="s">
        <v>8</v>
      </c>
      <c r="B40" s="1" t="s">
        <v>21</v>
      </c>
      <c r="C40" s="1" t="s">
        <v>19</v>
      </c>
      <c r="D40" s="1" t="s">
        <v>20</v>
      </c>
      <c r="E40" s="1" t="s">
        <v>15</v>
      </c>
      <c r="F40" s="1">
        <v>75</v>
      </c>
      <c r="G40" s="1">
        <v>90</v>
      </c>
      <c r="H40" s="1">
        <v>88</v>
      </c>
    </row>
    <row r="41" spans="1:8" x14ac:dyDescent="0.3">
      <c r="A41" s="1" t="s">
        <v>17</v>
      </c>
      <c r="B41" s="1" t="s">
        <v>9</v>
      </c>
      <c r="C41" s="1" t="s">
        <v>19</v>
      </c>
      <c r="D41" s="1" t="s">
        <v>20</v>
      </c>
      <c r="E41" s="1" t="s">
        <v>12</v>
      </c>
      <c r="F41" s="1">
        <v>57</v>
      </c>
      <c r="G41" s="1">
        <v>56</v>
      </c>
      <c r="H41" s="1">
        <v>57</v>
      </c>
    </row>
    <row r="42" spans="1:8" x14ac:dyDescent="0.3">
      <c r="A42" s="1" t="s">
        <v>17</v>
      </c>
      <c r="B42" s="1" t="s">
        <v>13</v>
      </c>
      <c r="C42" s="1" t="s">
        <v>19</v>
      </c>
      <c r="D42" s="1" t="s">
        <v>20</v>
      </c>
      <c r="E42" s="1" t="s">
        <v>12</v>
      </c>
      <c r="F42" s="1">
        <v>55</v>
      </c>
      <c r="G42" s="1">
        <v>61</v>
      </c>
      <c r="H42" s="1">
        <v>54</v>
      </c>
    </row>
    <row r="43" spans="1:8" x14ac:dyDescent="0.3">
      <c r="A43" s="1" t="s">
        <v>8</v>
      </c>
      <c r="B43" s="1" t="s">
        <v>13</v>
      </c>
      <c r="C43" s="1" t="s">
        <v>19</v>
      </c>
      <c r="D43" s="1" t="s">
        <v>11</v>
      </c>
      <c r="E43" s="1" t="s">
        <v>12</v>
      </c>
      <c r="F43" s="1">
        <v>58</v>
      </c>
      <c r="G43" s="1">
        <v>73</v>
      </c>
      <c r="H43" s="1">
        <v>68</v>
      </c>
    </row>
    <row r="44" spans="1:8" x14ac:dyDescent="0.3">
      <c r="A44" s="1" t="s">
        <v>8</v>
      </c>
      <c r="B44" s="1" t="s">
        <v>9</v>
      </c>
      <c r="C44" s="1" t="s">
        <v>19</v>
      </c>
      <c r="D44" s="1" t="s">
        <v>11</v>
      </c>
      <c r="E44" s="1" t="s">
        <v>12</v>
      </c>
      <c r="F44" s="1">
        <v>53</v>
      </c>
      <c r="G44" s="1">
        <v>58</v>
      </c>
      <c r="H44" s="1">
        <v>65</v>
      </c>
    </row>
    <row r="45" spans="1:8" x14ac:dyDescent="0.3">
      <c r="A45" s="1" t="s">
        <v>17</v>
      </c>
      <c r="B45" s="1" t="s">
        <v>9</v>
      </c>
      <c r="C45" s="1" t="s">
        <v>14</v>
      </c>
      <c r="D45" s="1" t="s">
        <v>20</v>
      </c>
      <c r="E45" s="1" t="s">
        <v>15</v>
      </c>
      <c r="F45" s="1">
        <v>59</v>
      </c>
      <c r="G45" s="1">
        <v>65</v>
      </c>
      <c r="H45" s="1">
        <v>66</v>
      </c>
    </row>
    <row r="46" spans="1:8" x14ac:dyDescent="0.3">
      <c r="A46" s="1" t="s">
        <v>8</v>
      </c>
      <c r="B46" s="1" t="s">
        <v>24</v>
      </c>
      <c r="C46" s="1" t="s">
        <v>19</v>
      </c>
      <c r="D46" s="1" t="s">
        <v>20</v>
      </c>
      <c r="E46" s="1" t="s">
        <v>12</v>
      </c>
      <c r="F46" s="1">
        <v>50</v>
      </c>
      <c r="G46" s="1">
        <v>56</v>
      </c>
      <c r="H46" s="1">
        <v>54</v>
      </c>
    </row>
    <row r="47" spans="1:8" x14ac:dyDescent="0.3">
      <c r="A47" s="1" t="s">
        <v>17</v>
      </c>
      <c r="B47" s="1" t="s">
        <v>9</v>
      </c>
      <c r="C47" s="1" t="s">
        <v>19</v>
      </c>
      <c r="D47" s="1" t="s">
        <v>11</v>
      </c>
      <c r="E47" s="1" t="s">
        <v>12</v>
      </c>
      <c r="F47" s="1">
        <v>65</v>
      </c>
      <c r="G47" s="1">
        <v>54</v>
      </c>
      <c r="H47" s="1">
        <v>57</v>
      </c>
    </row>
    <row r="48" spans="1:8" x14ac:dyDescent="0.3">
      <c r="A48" s="1" t="s">
        <v>8</v>
      </c>
      <c r="B48" s="1" t="s">
        <v>18</v>
      </c>
      <c r="C48" s="1" t="s">
        <v>19</v>
      </c>
      <c r="D48" s="1" t="s">
        <v>11</v>
      </c>
      <c r="E48" s="1" t="s">
        <v>15</v>
      </c>
      <c r="F48" s="1">
        <v>55</v>
      </c>
      <c r="G48" s="1">
        <v>65</v>
      </c>
      <c r="H48" s="1">
        <v>62</v>
      </c>
    </row>
    <row r="49" spans="1:8" x14ac:dyDescent="0.3">
      <c r="A49" s="1" t="s">
        <v>8</v>
      </c>
      <c r="B49" s="1" t="s">
        <v>13</v>
      </c>
      <c r="C49" s="1" t="s">
        <v>22</v>
      </c>
      <c r="D49" s="1" t="s">
        <v>11</v>
      </c>
      <c r="E49" s="1" t="s">
        <v>12</v>
      </c>
      <c r="F49" s="1">
        <v>66</v>
      </c>
      <c r="G49" s="1">
        <v>71</v>
      </c>
      <c r="H49" s="1">
        <v>76</v>
      </c>
    </row>
    <row r="50" spans="1:8" x14ac:dyDescent="0.3">
      <c r="A50" s="1" t="s">
        <v>8</v>
      </c>
      <c r="B50" s="1" t="s">
        <v>21</v>
      </c>
      <c r="C50" s="1" t="s">
        <v>19</v>
      </c>
      <c r="D50" s="1" t="s">
        <v>20</v>
      </c>
      <c r="E50" s="1" t="s">
        <v>15</v>
      </c>
      <c r="F50" s="1">
        <v>57</v>
      </c>
      <c r="G50" s="1">
        <v>74</v>
      </c>
      <c r="H50" s="1">
        <v>76</v>
      </c>
    </row>
    <row r="51" spans="1:8" x14ac:dyDescent="0.3">
      <c r="A51" s="1" t="s">
        <v>17</v>
      </c>
      <c r="B51" s="1" t="s">
        <v>13</v>
      </c>
      <c r="C51" s="1" t="s">
        <v>22</v>
      </c>
      <c r="D51" s="1" t="s">
        <v>11</v>
      </c>
      <c r="E51" s="1" t="s">
        <v>15</v>
      </c>
      <c r="F51" s="1">
        <v>82</v>
      </c>
      <c r="G51" s="1">
        <v>84</v>
      </c>
      <c r="H51" s="1">
        <v>82</v>
      </c>
    </row>
    <row r="52" spans="1:8" x14ac:dyDescent="0.3">
      <c r="A52" s="1" t="s">
        <v>17</v>
      </c>
      <c r="B52" s="1" t="s">
        <v>24</v>
      </c>
      <c r="C52" s="1" t="s">
        <v>14</v>
      </c>
      <c r="D52" s="1" t="s">
        <v>11</v>
      </c>
      <c r="E52" s="1" t="s">
        <v>12</v>
      </c>
      <c r="F52" s="1">
        <v>53</v>
      </c>
      <c r="G52" s="1">
        <v>55</v>
      </c>
      <c r="H52" s="1">
        <v>48</v>
      </c>
    </row>
    <row r="53" spans="1:8" x14ac:dyDescent="0.3">
      <c r="A53" s="1" t="s">
        <v>17</v>
      </c>
      <c r="B53" s="1" t="s">
        <v>24</v>
      </c>
      <c r="C53" s="1" t="s">
        <v>19</v>
      </c>
      <c r="D53" s="1" t="s">
        <v>20</v>
      </c>
      <c r="E53" s="1" t="s">
        <v>15</v>
      </c>
      <c r="F53" s="1">
        <v>77</v>
      </c>
      <c r="G53" s="1">
        <v>69</v>
      </c>
      <c r="H53" s="1">
        <v>68</v>
      </c>
    </row>
    <row r="54" spans="1:8" x14ac:dyDescent="0.3">
      <c r="A54" s="1" t="s">
        <v>17</v>
      </c>
      <c r="B54" s="1" t="s">
        <v>13</v>
      </c>
      <c r="C54" s="1" t="s">
        <v>14</v>
      </c>
      <c r="D54" s="1" t="s">
        <v>11</v>
      </c>
      <c r="E54" s="1" t="s">
        <v>12</v>
      </c>
      <c r="F54" s="1">
        <v>53</v>
      </c>
      <c r="G54" s="1">
        <v>44</v>
      </c>
      <c r="H54" s="1">
        <v>42</v>
      </c>
    </row>
    <row r="55" spans="1:8" x14ac:dyDescent="0.3">
      <c r="A55" s="1" t="s">
        <v>17</v>
      </c>
      <c r="B55" s="1" t="s">
        <v>21</v>
      </c>
      <c r="C55" s="1" t="s">
        <v>22</v>
      </c>
      <c r="D55" s="1" t="s">
        <v>11</v>
      </c>
      <c r="E55" s="1" t="s">
        <v>12</v>
      </c>
      <c r="F55" s="1">
        <v>88</v>
      </c>
      <c r="G55" s="1">
        <v>78</v>
      </c>
      <c r="H55" s="1">
        <v>75</v>
      </c>
    </row>
    <row r="56" spans="1:8" x14ac:dyDescent="0.3">
      <c r="A56" s="1" t="s">
        <v>8</v>
      </c>
      <c r="B56" s="1" t="s">
        <v>13</v>
      </c>
      <c r="C56" s="1" t="s">
        <v>23</v>
      </c>
      <c r="D56" s="1" t="s">
        <v>20</v>
      </c>
      <c r="E56" s="1" t="s">
        <v>15</v>
      </c>
      <c r="F56" s="1">
        <v>71</v>
      </c>
      <c r="G56" s="1">
        <v>84</v>
      </c>
      <c r="H56" s="1">
        <v>87</v>
      </c>
    </row>
    <row r="57" spans="1:8" x14ac:dyDescent="0.3">
      <c r="A57" s="1" t="s">
        <v>8</v>
      </c>
      <c r="B57" s="1" t="s">
        <v>13</v>
      </c>
      <c r="C57" s="1" t="s">
        <v>22</v>
      </c>
      <c r="D57" s="1" t="s">
        <v>20</v>
      </c>
      <c r="E57" s="1" t="s">
        <v>12</v>
      </c>
      <c r="F57" s="1">
        <v>33</v>
      </c>
      <c r="G57" s="1">
        <v>41</v>
      </c>
      <c r="H57" s="1">
        <v>43</v>
      </c>
    </row>
    <row r="58" spans="1:8" x14ac:dyDescent="0.3">
      <c r="A58" s="1" t="s">
        <v>8</v>
      </c>
      <c r="B58" s="1" t="s">
        <v>24</v>
      </c>
      <c r="C58" s="1" t="s">
        <v>19</v>
      </c>
      <c r="D58" s="1" t="s">
        <v>11</v>
      </c>
      <c r="E58" s="1" t="s">
        <v>15</v>
      </c>
      <c r="F58" s="1">
        <v>82</v>
      </c>
      <c r="G58" s="1">
        <v>85</v>
      </c>
      <c r="H58" s="1">
        <v>86</v>
      </c>
    </row>
    <row r="59" spans="1:8" x14ac:dyDescent="0.3">
      <c r="A59" s="1" t="s">
        <v>17</v>
      </c>
      <c r="B59" s="1" t="s">
        <v>21</v>
      </c>
      <c r="C59" s="1" t="s">
        <v>19</v>
      </c>
      <c r="D59" s="1" t="s">
        <v>11</v>
      </c>
      <c r="E59" s="1" t="s">
        <v>12</v>
      </c>
      <c r="F59" s="1">
        <v>52</v>
      </c>
      <c r="G59" s="1">
        <v>55</v>
      </c>
      <c r="H59" s="1">
        <v>49</v>
      </c>
    </row>
    <row r="60" spans="1:8" x14ac:dyDescent="0.3">
      <c r="A60" s="1" t="s">
        <v>17</v>
      </c>
      <c r="B60" s="1" t="s">
        <v>21</v>
      </c>
      <c r="C60" s="1" t="s">
        <v>14</v>
      </c>
      <c r="D60" s="1" t="s">
        <v>11</v>
      </c>
      <c r="E60" s="1" t="s">
        <v>15</v>
      </c>
      <c r="F60" s="1">
        <v>58</v>
      </c>
      <c r="G60" s="1">
        <v>59</v>
      </c>
      <c r="H60" s="1">
        <v>58</v>
      </c>
    </row>
    <row r="61" spans="1:8" x14ac:dyDescent="0.3">
      <c r="A61" s="1" t="s">
        <v>8</v>
      </c>
      <c r="B61" s="1" t="s">
        <v>13</v>
      </c>
      <c r="C61" s="1" t="s">
        <v>23</v>
      </c>
      <c r="D61" s="1" t="s">
        <v>20</v>
      </c>
      <c r="E61" s="1" t="s">
        <v>12</v>
      </c>
      <c r="F61" s="1">
        <v>0</v>
      </c>
      <c r="G61" s="1">
        <v>17</v>
      </c>
      <c r="H61" s="1">
        <v>10</v>
      </c>
    </row>
    <row r="62" spans="1:8" x14ac:dyDescent="0.3">
      <c r="A62" s="1" t="s">
        <v>17</v>
      </c>
      <c r="B62" s="1" t="s">
        <v>24</v>
      </c>
      <c r="C62" s="1" t="s">
        <v>10</v>
      </c>
      <c r="D62" s="1" t="s">
        <v>20</v>
      </c>
      <c r="E62" s="1" t="s">
        <v>15</v>
      </c>
      <c r="F62" s="1">
        <v>79</v>
      </c>
      <c r="G62" s="1">
        <v>74</v>
      </c>
      <c r="H62" s="1">
        <v>72</v>
      </c>
    </row>
    <row r="63" spans="1:8" x14ac:dyDescent="0.3">
      <c r="A63" s="1" t="s">
        <v>17</v>
      </c>
      <c r="B63" s="1" t="s">
        <v>18</v>
      </c>
      <c r="C63" s="1" t="s">
        <v>23</v>
      </c>
      <c r="D63" s="1" t="s">
        <v>20</v>
      </c>
      <c r="E63" s="1" t="s">
        <v>12</v>
      </c>
      <c r="F63" s="1">
        <v>39</v>
      </c>
      <c r="G63" s="1">
        <v>39</v>
      </c>
      <c r="H63" s="1">
        <v>34</v>
      </c>
    </row>
    <row r="64" spans="1:8" x14ac:dyDescent="0.3">
      <c r="A64" s="1" t="s">
        <v>17</v>
      </c>
      <c r="B64" s="1" t="s">
        <v>18</v>
      </c>
      <c r="C64" s="1" t="s">
        <v>19</v>
      </c>
      <c r="D64" s="1" t="s">
        <v>20</v>
      </c>
      <c r="E64" s="1" t="s">
        <v>12</v>
      </c>
      <c r="F64" s="1">
        <v>62</v>
      </c>
      <c r="G64" s="1">
        <v>61</v>
      </c>
      <c r="H64" s="1">
        <v>55</v>
      </c>
    </row>
    <row r="65" spans="1:8" x14ac:dyDescent="0.3">
      <c r="A65" s="1" t="s">
        <v>8</v>
      </c>
      <c r="B65" s="1" t="s">
        <v>13</v>
      </c>
      <c r="C65" s="1" t="s">
        <v>19</v>
      </c>
      <c r="D65" s="1" t="s">
        <v>11</v>
      </c>
      <c r="E65" s="1" t="s">
        <v>12</v>
      </c>
      <c r="F65" s="1">
        <v>69</v>
      </c>
      <c r="G65" s="1">
        <v>80</v>
      </c>
      <c r="H65" s="1">
        <v>71</v>
      </c>
    </row>
    <row r="66" spans="1:8" x14ac:dyDescent="0.3">
      <c r="A66" s="1" t="s">
        <v>8</v>
      </c>
      <c r="B66" s="1" t="s">
        <v>21</v>
      </c>
      <c r="C66" s="1" t="s">
        <v>23</v>
      </c>
      <c r="D66" s="1" t="s">
        <v>11</v>
      </c>
      <c r="E66" s="1" t="s">
        <v>12</v>
      </c>
      <c r="F66" s="1">
        <v>59</v>
      </c>
      <c r="G66" s="1">
        <v>58</v>
      </c>
      <c r="H66" s="1">
        <v>59</v>
      </c>
    </row>
    <row r="67" spans="1:8" x14ac:dyDescent="0.3">
      <c r="A67" s="1" t="s">
        <v>17</v>
      </c>
      <c r="B67" s="1" t="s">
        <v>9</v>
      </c>
      <c r="C67" s="1" t="s">
        <v>23</v>
      </c>
      <c r="D67" s="1" t="s">
        <v>11</v>
      </c>
      <c r="E67" s="1" t="s">
        <v>12</v>
      </c>
      <c r="F67" s="1">
        <v>67</v>
      </c>
      <c r="G67" s="1">
        <v>64</v>
      </c>
      <c r="H67" s="1">
        <v>61</v>
      </c>
    </row>
    <row r="68" spans="1:8" x14ac:dyDescent="0.3">
      <c r="A68" s="1" t="s">
        <v>17</v>
      </c>
      <c r="B68" s="1" t="s">
        <v>21</v>
      </c>
      <c r="C68" s="1" t="s">
        <v>23</v>
      </c>
      <c r="D68" s="1" t="s">
        <v>20</v>
      </c>
      <c r="E68" s="1" t="s">
        <v>12</v>
      </c>
      <c r="F68" s="1">
        <v>45</v>
      </c>
      <c r="G68" s="1">
        <v>37</v>
      </c>
      <c r="H68" s="1">
        <v>37</v>
      </c>
    </row>
    <row r="69" spans="1:8" x14ac:dyDescent="0.3">
      <c r="A69" s="1" t="s">
        <v>8</v>
      </c>
      <c r="B69" s="1" t="s">
        <v>13</v>
      </c>
      <c r="C69" s="1" t="s">
        <v>14</v>
      </c>
      <c r="D69" s="1" t="s">
        <v>11</v>
      </c>
      <c r="E69" s="1" t="s">
        <v>12</v>
      </c>
      <c r="F69" s="1">
        <v>60</v>
      </c>
      <c r="G69" s="1">
        <v>72</v>
      </c>
      <c r="H69" s="1">
        <v>74</v>
      </c>
    </row>
    <row r="70" spans="1:8" x14ac:dyDescent="0.3">
      <c r="A70" s="1" t="s">
        <v>17</v>
      </c>
      <c r="B70" s="1" t="s">
        <v>9</v>
      </c>
      <c r="C70" s="1" t="s">
        <v>19</v>
      </c>
      <c r="D70" s="1" t="s">
        <v>20</v>
      </c>
      <c r="E70" s="1" t="s">
        <v>12</v>
      </c>
      <c r="F70" s="1">
        <v>61</v>
      </c>
      <c r="G70" s="1">
        <v>58</v>
      </c>
      <c r="H70" s="1">
        <v>56</v>
      </c>
    </row>
    <row r="71" spans="1:8" x14ac:dyDescent="0.3">
      <c r="A71" s="1" t="s">
        <v>8</v>
      </c>
      <c r="B71" s="1" t="s">
        <v>13</v>
      </c>
      <c r="C71" s="1" t="s">
        <v>19</v>
      </c>
      <c r="D71" s="1" t="s">
        <v>11</v>
      </c>
      <c r="E71" s="1" t="s">
        <v>12</v>
      </c>
      <c r="F71" s="1">
        <v>39</v>
      </c>
      <c r="G71" s="1">
        <v>64</v>
      </c>
      <c r="H71" s="1">
        <v>57</v>
      </c>
    </row>
    <row r="72" spans="1:8" x14ac:dyDescent="0.3">
      <c r="A72" s="1" t="s">
        <v>8</v>
      </c>
      <c r="B72" s="1" t="s">
        <v>21</v>
      </c>
      <c r="C72" s="1" t="s">
        <v>14</v>
      </c>
      <c r="D72" s="1" t="s">
        <v>20</v>
      </c>
      <c r="E72" s="1" t="s">
        <v>15</v>
      </c>
      <c r="F72" s="1">
        <v>58</v>
      </c>
      <c r="G72" s="1">
        <v>63</v>
      </c>
      <c r="H72" s="1">
        <v>73</v>
      </c>
    </row>
    <row r="73" spans="1:8" x14ac:dyDescent="0.3">
      <c r="A73" s="1" t="s">
        <v>17</v>
      </c>
      <c r="B73" s="1" t="s">
        <v>21</v>
      </c>
      <c r="C73" s="1" t="s">
        <v>14</v>
      </c>
      <c r="D73" s="1" t="s">
        <v>11</v>
      </c>
      <c r="E73" s="1" t="s">
        <v>15</v>
      </c>
      <c r="F73" s="1">
        <v>63</v>
      </c>
      <c r="G73" s="1">
        <v>55</v>
      </c>
      <c r="H73" s="1">
        <v>63</v>
      </c>
    </row>
    <row r="74" spans="1:8" x14ac:dyDescent="0.3">
      <c r="A74" s="1" t="s">
        <v>8</v>
      </c>
      <c r="B74" s="1" t="s">
        <v>18</v>
      </c>
      <c r="C74" s="1" t="s">
        <v>19</v>
      </c>
      <c r="D74" s="1" t="s">
        <v>20</v>
      </c>
      <c r="E74" s="1" t="s">
        <v>12</v>
      </c>
      <c r="F74" s="1">
        <v>41</v>
      </c>
      <c r="G74" s="1">
        <v>51</v>
      </c>
      <c r="H74" s="1">
        <v>48</v>
      </c>
    </row>
    <row r="75" spans="1:8" x14ac:dyDescent="0.3">
      <c r="A75" s="1" t="s">
        <v>17</v>
      </c>
      <c r="B75" s="1" t="s">
        <v>13</v>
      </c>
      <c r="C75" s="1" t="s">
        <v>23</v>
      </c>
      <c r="D75" s="1" t="s">
        <v>20</v>
      </c>
      <c r="E75" s="1" t="s">
        <v>12</v>
      </c>
      <c r="F75" s="1">
        <v>61</v>
      </c>
      <c r="G75" s="1">
        <v>57</v>
      </c>
      <c r="H75" s="1">
        <v>56</v>
      </c>
    </row>
    <row r="76" spans="1:8" x14ac:dyDescent="0.3">
      <c r="A76" s="1" t="s">
        <v>17</v>
      </c>
      <c r="B76" s="1" t="s">
        <v>13</v>
      </c>
      <c r="C76" s="1" t="s">
        <v>23</v>
      </c>
      <c r="D76" s="1" t="s">
        <v>11</v>
      </c>
      <c r="E76" s="1" t="s">
        <v>12</v>
      </c>
      <c r="F76" s="1">
        <v>49</v>
      </c>
      <c r="G76" s="1">
        <v>49</v>
      </c>
      <c r="H76" s="1">
        <v>41</v>
      </c>
    </row>
    <row r="77" spans="1:8" x14ac:dyDescent="0.3">
      <c r="A77" s="1" t="s">
        <v>17</v>
      </c>
      <c r="B77" s="1" t="s">
        <v>9</v>
      </c>
      <c r="C77" s="1" t="s">
        <v>19</v>
      </c>
      <c r="D77" s="1" t="s">
        <v>20</v>
      </c>
      <c r="E77" s="1" t="s">
        <v>12</v>
      </c>
      <c r="F77" s="1">
        <v>44</v>
      </c>
      <c r="G77" s="1">
        <v>41</v>
      </c>
      <c r="H77" s="1">
        <v>38</v>
      </c>
    </row>
    <row r="78" spans="1:8" x14ac:dyDescent="0.3">
      <c r="A78" s="1" t="s">
        <v>17</v>
      </c>
      <c r="B78" s="1" t="s">
        <v>24</v>
      </c>
      <c r="C78" s="1" t="s">
        <v>23</v>
      </c>
      <c r="D78" s="1" t="s">
        <v>11</v>
      </c>
      <c r="E78" s="1" t="s">
        <v>12</v>
      </c>
      <c r="F78" s="1">
        <v>30</v>
      </c>
      <c r="G78" s="1">
        <v>26</v>
      </c>
      <c r="H78" s="1">
        <v>22</v>
      </c>
    </row>
    <row r="79" spans="1:8" x14ac:dyDescent="0.3">
      <c r="A79" s="1" t="s">
        <v>17</v>
      </c>
      <c r="B79" s="1" t="s">
        <v>18</v>
      </c>
      <c r="C79" s="1" t="s">
        <v>10</v>
      </c>
      <c r="D79" s="1" t="s">
        <v>11</v>
      </c>
      <c r="E79" s="1" t="s">
        <v>15</v>
      </c>
      <c r="F79" s="1">
        <v>80</v>
      </c>
      <c r="G79" s="1">
        <v>78</v>
      </c>
      <c r="H79" s="1">
        <v>81</v>
      </c>
    </row>
    <row r="80" spans="1:8" x14ac:dyDescent="0.3">
      <c r="A80" s="1" t="s">
        <v>8</v>
      </c>
      <c r="B80" s="1" t="s">
        <v>21</v>
      </c>
      <c r="C80" s="1" t="s">
        <v>23</v>
      </c>
      <c r="D80" s="1" t="s">
        <v>11</v>
      </c>
      <c r="E80" s="1" t="s">
        <v>15</v>
      </c>
      <c r="F80" s="1">
        <v>61</v>
      </c>
      <c r="G80" s="1">
        <v>74</v>
      </c>
      <c r="H80" s="1">
        <v>72</v>
      </c>
    </row>
    <row r="81" spans="1:8" x14ac:dyDescent="0.3">
      <c r="A81" s="1" t="s">
        <v>8</v>
      </c>
      <c r="B81" s="1" t="s">
        <v>24</v>
      </c>
      <c r="C81" s="1" t="s">
        <v>16</v>
      </c>
      <c r="D81" s="1" t="s">
        <v>11</v>
      </c>
      <c r="E81" s="1" t="s">
        <v>12</v>
      </c>
      <c r="F81" s="1">
        <v>62</v>
      </c>
      <c r="G81" s="1">
        <v>68</v>
      </c>
      <c r="H81" s="1">
        <v>68</v>
      </c>
    </row>
    <row r="82" spans="1:8" x14ac:dyDescent="0.3">
      <c r="A82" s="1" t="s">
        <v>8</v>
      </c>
      <c r="B82" s="1" t="s">
        <v>9</v>
      </c>
      <c r="C82" s="1" t="s">
        <v>19</v>
      </c>
      <c r="D82" s="1" t="s">
        <v>11</v>
      </c>
      <c r="E82" s="1" t="s">
        <v>12</v>
      </c>
      <c r="F82" s="1">
        <v>47</v>
      </c>
      <c r="G82" s="1">
        <v>49</v>
      </c>
      <c r="H82" s="1">
        <v>50</v>
      </c>
    </row>
    <row r="83" spans="1:8" x14ac:dyDescent="0.3">
      <c r="A83" s="1" t="s">
        <v>17</v>
      </c>
      <c r="B83" s="1" t="s">
        <v>9</v>
      </c>
      <c r="C83" s="1" t="s">
        <v>22</v>
      </c>
      <c r="D83" s="1" t="s">
        <v>20</v>
      </c>
      <c r="E83" s="1" t="s">
        <v>12</v>
      </c>
      <c r="F83" s="1">
        <v>49</v>
      </c>
      <c r="G83" s="1">
        <v>45</v>
      </c>
      <c r="H83" s="1">
        <v>45</v>
      </c>
    </row>
    <row r="84" spans="1:8" x14ac:dyDescent="0.3">
      <c r="A84" s="1" t="s">
        <v>17</v>
      </c>
      <c r="B84" s="1" t="s">
        <v>18</v>
      </c>
      <c r="C84" s="1" t="s">
        <v>14</v>
      </c>
      <c r="D84" s="1" t="s">
        <v>20</v>
      </c>
      <c r="E84" s="1" t="s">
        <v>15</v>
      </c>
      <c r="F84" s="1">
        <v>50</v>
      </c>
      <c r="G84" s="1">
        <v>47</v>
      </c>
      <c r="H84" s="1">
        <v>54</v>
      </c>
    </row>
    <row r="85" spans="1:8" x14ac:dyDescent="0.3">
      <c r="A85" s="1" t="s">
        <v>17</v>
      </c>
      <c r="B85" s="1" t="s">
        <v>24</v>
      </c>
      <c r="C85" s="1" t="s">
        <v>19</v>
      </c>
      <c r="D85" s="1" t="s">
        <v>11</v>
      </c>
      <c r="E85" s="1" t="s">
        <v>12</v>
      </c>
      <c r="F85" s="1">
        <v>72</v>
      </c>
      <c r="G85" s="1">
        <v>64</v>
      </c>
      <c r="H85" s="1">
        <v>63</v>
      </c>
    </row>
    <row r="86" spans="1:8" x14ac:dyDescent="0.3">
      <c r="A86" s="1" t="s">
        <v>17</v>
      </c>
      <c r="B86" s="1" t="s">
        <v>21</v>
      </c>
      <c r="C86" s="1" t="s">
        <v>22</v>
      </c>
      <c r="D86" s="1" t="s">
        <v>20</v>
      </c>
      <c r="E86" s="1" t="s">
        <v>12</v>
      </c>
      <c r="F86" s="1">
        <v>42</v>
      </c>
      <c r="G86" s="1">
        <v>39</v>
      </c>
      <c r="H86" s="1">
        <v>34</v>
      </c>
    </row>
    <row r="87" spans="1:8" x14ac:dyDescent="0.3">
      <c r="A87" s="1" t="s">
        <v>8</v>
      </c>
      <c r="B87" s="1" t="s">
        <v>13</v>
      </c>
      <c r="C87" s="1" t="s">
        <v>14</v>
      </c>
      <c r="D87" s="1" t="s">
        <v>11</v>
      </c>
      <c r="E87" s="1" t="s">
        <v>12</v>
      </c>
      <c r="F87" s="1">
        <v>73</v>
      </c>
      <c r="G87" s="1">
        <v>80</v>
      </c>
      <c r="H87" s="1">
        <v>82</v>
      </c>
    </row>
    <row r="88" spans="1:8" x14ac:dyDescent="0.3">
      <c r="A88" s="1" t="s">
        <v>8</v>
      </c>
      <c r="B88" s="1" t="s">
        <v>13</v>
      </c>
      <c r="C88" s="1" t="s">
        <v>14</v>
      </c>
      <c r="D88" s="1" t="s">
        <v>20</v>
      </c>
      <c r="E88" s="1" t="s">
        <v>12</v>
      </c>
      <c r="F88" s="1">
        <v>76</v>
      </c>
      <c r="G88" s="1">
        <v>83</v>
      </c>
      <c r="H88" s="1">
        <v>88</v>
      </c>
    </row>
    <row r="89" spans="1:8" x14ac:dyDescent="0.3">
      <c r="A89" s="1" t="s">
        <v>8</v>
      </c>
      <c r="B89" s="1" t="s">
        <v>21</v>
      </c>
      <c r="C89" s="1" t="s">
        <v>19</v>
      </c>
      <c r="D89" s="1" t="s">
        <v>11</v>
      </c>
      <c r="E89" s="1" t="s">
        <v>12</v>
      </c>
      <c r="F89" s="1">
        <v>71</v>
      </c>
      <c r="G89" s="1">
        <v>71</v>
      </c>
      <c r="H89" s="1">
        <v>74</v>
      </c>
    </row>
    <row r="90" spans="1:8" x14ac:dyDescent="0.3">
      <c r="A90" s="1" t="s">
        <v>8</v>
      </c>
      <c r="B90" s="1" t="s">
        <v>18</v>
      </c>
      <c r="C90" s="1" t="s">
        <v>14</v>
      </c>
      <c r="D90" s="1" t="s">
        <v>11</v>
      </c>
      <c r="E90" s="1" t="s">
        <v>12</v>
      </c>
      <c r="F90" s="1">
        <v>58</v>
      </c>
      <c r="G90" s="1">
        <v>70</v>
      </c>
      <c r="H90" s="1">
        <v>67</v>
      </c>
    </row>
    <row r="91" spans="1:8" x14ac:dyDescent="0.3">
      <c r="A91" s="1" t="s">
        <v>8</v>
      </c>
      <c r="B91" s="1" t="s">
        <v>21</v>
      </c>
      <c r="C91" s="1" t="s">
        <v>23</v>
      </c>
      <c r="D91" s="1" t="s">
        <v>11</v>
      </c>
      <c r="E91" s="1" t="s">
        <v>12</v>
      </c>
      <c r="F91" s="1">
        <v>73</v>
      </c>
      <c r="G91" s="1">
        <v>86</v>
      </c>
      <c r="H91" s="1">
        <v>82</v>
      </c>
    </row>
    <row r="92" spans="1:8" x14ac:dyDescent="0.3">
      <c r="A92" s="1" t="s">
        <v>8</v>
      </c>
      <c r="B92" s="1" t="s">
        <v>13</v>
      </c>
      <c r="C92" s="1" t="s">
        <v>10</v>
      </c>
      <c r="D92" s="1" t="s">
        <v>11</v>
      </c>
      <c r="E92" s="1" t="s">
        <v>12</v>
      </c>
      <c r="F92" s="1">
        <v>65</v>
      </c>
      <c r="G92" s="1">
        <v>72</v>
      </c>
      <c r="H92" s="1">
        <v>74</v>
      </c>
    </row>
    <row r="93" spans="1:8" x14ac:dyDescent="0.3">
      <c r="A93" s="1" t="s">
        <v>17</v>
      </c>
      <c r="B93" s="1" t="s">
        <v>13</v>
      </c>
      <c r="C93" s="1" t="s">
        <v>22</v>
      </c>
      <c r="D93" s="1" t="s">
        <v>20</v>
      </c>
      <c r="E93" s="1" t="s">
        <v>12</v>
      </c>
      <c r="F93" s="1">
        <v>27</v>
      </c>
      <c r="G93" s="1">
        <v>34</v>
      </c>
      <c r="H93" s="1">
        <v>36</v>
      </c>
    </row>
    <row r="94" spans="1:8" x14ac:dyDescent="0.3">
      <c r="A94" s="1" t="s">
        <v>17</v>
      </c>
      <c r="B94" s="1" t="s">
        <v>13</v>
      </c>
      <c r="C94" s="1" t="s">
        <v>22</v>
      </c>
      <c r="D94" s="1" t="s">
        <v>11</v>
      </c>
      <c r="E94" s="1" t="s">
        <v>12</v>
      </c>
      <c r="F94" s="1">
        <v>71</v>
      </c>
      <c r="G94" s="1">
        <v>79</v>
      </c>
      <c r="H94" s="1">
        <v>71</v>
      </c>
    </row>
    <row r="95" spans="1:8" x14ac:dyDescent="0.3">
      <c r="A95" s="1" t="s">
        <v>17</v>
      </c>
      <c r="B95" s="1" t="s">
        <v>13</v>
      </c>
      <c r="C95" s="1" t="s">
        <v>19</v>
      </c>
      <c r="D95" s="1" t="s">
        <v>20</v>
      </c>
      <c r="E95" s="1" t="s">
        <v>15</v>
      </c>
      <c r="F95" s="1">
        <v>43</v>
      </c>
      <c r="G95" s="1">
        <v>45</v>
      </c>
      <c r="H95" s="1">
        <v>50</v>
      </c>
    </row>
    <row r="96" spans="1:8" x14ac:dyDescent="0.3">
      <c r="A96" s="1" t="s">
        <v>8</v>
      </c>
      <c r="B96" s="1" t="s">
        <v>9</v>
      </c>
      <c r="C96" s="1" t="s">
        <v>14</v>
      </c>
      <c r="D96" s="1" t="s">
        <v>11</v>
      </c>
      <c r="E96" s="1" t="s">
        <v>12</v>
      </c>
      <c r="F96" s="1">
        <v>79</v>
      </c>
      <c r="G96" s="1">
        <v>86</v>
      </c>
      <c r="H96" s="1">
        <v>92</v>
      </c>
    </row>
    <row r="97" spans="1:8" x14ac:dyDescent="0.3">
      <c r="A97" s="1" t="s">
        <v>17</v>
      </c>
      <c r="B97" s="1" t="s">
        <v>13</v>
      </c>
      <c r="C97" s="1" t="s">
        <v>19</v>
      </c>
      <c r="D97" s="1" t="s">
        <v>20</v>
      </c>
      <c r="E97" s="1" t="s">
        <v>15</v>
      </c>
      <c r="F97" s="1">
        <v>78</v>
      </c>
      <c r="G97" s="1">
        <v>81</v>
      </c>
      <c r="H97" s="1">
        <v>82</v>
      </c>
    </row>
    <row r="98" spans="1:8" x14ac:dyDescent="0.3">
      <c r="A98" s="1" t="s">
        <v>17</v>
      </c>
      <c r="B98" s="1" t="s">
        <v>9</v>
      </c>
      <c r="C98" s="1" t="s">
        <v>23</v>
      </c>
      <c r="D98" s="1" t="s">
        <v>11</v>
      </c>
      <c r="E98" s="1" t="s">
        <v>15</v>
      </c>
      <c r="F98" s="1">
        <v>65</v>
      </c>
      <c r="G98" s="1">
        <v>66</v>
      </c>
      <c r="H98" s="1">
        <v>62</v>
      </c>
    </row>
    <row r="99" spans="1:8" x14ac:dyDescent="0.3">
      <c r="A99" s="1" t="s">
        <v>8</v>
      </c>
      <c r="B99" s="1" t="s">
        <v>24</v>
      </c>
      <c r="C99" s="1" t="s">
        <v>14</v>
      </c>
      <c r="D99" s="1" t="s">
        <v>11</v>
      </c>
      <c r="E99" s="1" t="s">
        <v>15</v>
      </c>
      <c r="F99" s="1">
        <v>63</v>
      </c>
      <c r="G99" s="1">
        <v>72</v>
      </c>
      <c r="H99" s="1">
        <v>70</v>
      </c>
    </row>
    <row r="100" spans="1:8" x14ac:dyDescent="0.3">
      <c r="A100" s="1" t="s">
        <v>8</v>
      </c>
      <c r="B100" s="1" t="s">
        <v>21</v>
      </c>
      <c r="C100" s="1" t="s">
        <v>14</v>
      </c>
      <c r="D100" s="1" t="s">
        <v>20</v>
      </c>
      <c r="E100" s="1" t="s">
        <v>12</v>
      </c>
      <c r="F100" s="1">
        <v>58</v>
      </c>
      <c r="G100" s="1">
        <v>67</v>
      </c>
      <c r="H100" s="1">
        <v>62</v>
      </c>
    </row>
    <row r="101" spans="1:8" x14ac:dyDescent="0.3">
      <c r="A101" s="1" t="s">
        <v>8</v>
      </c>
      <c r="B101" s="1" t="s">
        <v>21</v>
      </c>
      <c r="C101" s="1" t="s">
        <v>10</v>
      </c>
      <c r="D101" s="1" t="s">
        <v>11</v>
      </c>
      <c r="E101" s="1" t="s">
        <v>12</v>
      </c>
      <c r="F101" s="1">
        <v>65</v>
      </c>
      <c r="G101" s="1">
        <v>67</v>
      </c>
      <c r="H101" s="1">
        <v>62</v>
      </c>
    </row>
    <row r="102" spans="1:8" x14ac:dyDescent="0.3">
      <c r="A102" s="1" t="s">
        <v>17</v>
      </c>
      <c r="B102" s="1" t="s">
        <v>9</v>
      </c>
      <c r="C102" s="1" t="s">
        <v>14</v>
      </c>
      <c r="D102" s="1" t="s">
        <v>11</v>
      </c>
      <c r="E102" s="1" t="s">
        <v>12</v>
      </c>
      <c r="F102" s="1">
        <v>79</v>
      </c>
      <c r="G102" s="1">
        <v>67</v>
      </c>
      <c r="H102" s="1">
        <v>67</v>
      </c>
    </row>
    <row r="103" spans="1:8" x14ac:dyDescent="0.3">
      <c r="A103" s="1" t="s">
        <v>17</v>
      </c>
      <c r="B103" s="1" t="s">
        <v>21</v>
      </c>
      <c r="C103" s="1" t="s">
        <v>10</v>
      </c>
      <c r="D103" s="1" t="s">
        <v>11</v>
      </c>
      <c r="E103" s="1" t="s">
        <v>15</v>
      </c>
      <c r="F103" s="1">
        <v>68</v>
      </c>
      <c r="G103" s="1">
        <v>74</v>
      </c>
      <c r="H103" s="1">
        <v>74</v>
      </c>
    </row>
    <row r="104" spans="1:8" x14ac:dyDescent="0.3">
      <c r="A104" s="1" t="s">
        <v>8</v>
      </c>
      <c r="B104" s="1" t="s">
        <v>21</v>
      </c>
      <c r="C104" s="1" t="s">
        <v>19</v>
      </c>
      <c r="D104" s="1" t="s">
        <v>11</v>
      </c>
      <c r="E104" s="1" t="s">
        <v>12</v>
      </c>
      <c r="F104" s="1">
        <v>85</v>
      </c>
      <c r="G104" s="1">
        <v>91</v>
      </c>
      <c r="H104" s="1">
        <v>89</v>
      </c>
    </row>
    <row r="105" spans="1:8" x14ac:dyDescent="0.3">
      <c r="A105" s="1" t="s">
        <v>17</v>
      </c>
      <c r="B105" s="1" t="s">
        <v>9</v>
      </c>
      <c r="C105" s="1" t="s">
        <v>22</v>
      </c>
      <c r="D105" s="1" t="s">
        <v>11</v>
      </c>
      <c r="E105" s="1" t="s">
        <v>15</v>
      </c>
      <c r="F105" s="1">
        <v>60</v>
      </c>
      <c r="G105" s="1">
        <v>44</v>
      </c>
      <c r="H105" s="1">
        <v>47</v>
      </c>
    </row>
    <row r="106" spans="1:8" x14ac:dyDescent="0.3">
      <c r="A106" s="1" t="s">
        <v>17</v>
      </c>
      <c r="B106" s="1" t="s">
        <v>13</v>
      </c>
      <c r="C106" s="1" t="s">
        <v>14</v>
      </c>
      <c r="D106" s="1" t="s">
        <v>11</v>
      </c>
      <c r="E106" s="1" t="s">
        <v>15</v>
      </c>
      <c r="F106" s="1">
        <v>98</v>
      </c>
      <c r="G106" s="1">
        <v>86</v>
      </c>
      <c r="H106" s="1">
        <v>90</v>
      </c>
    </row>
    <row r="107" spans="1:8" x14ac:dyDescent="0.3">
      <c r="A107" s="1" t="s">
        <v>8</v>
      </c>
      <c r="B107" s="1" t="s">
        <v>13</v>
      </c>
      <c r="C107" s="1" t="s">
        <v>14</v>
      </c>
      <c r="D107" s="1" t="s">
        <v>11</v>
      </c>
      <c r="E107" s="1" t="s">
        <v>12</v>
      </c>
      <c r="F107" s="1">
        <v>58</v>
      </c>
      <c r="G107" s="1">
        <v>67</v>
      </c>
      <c r="H107" s="1">
        <v>72</v>
      </c>
    </row>
    <row r="108" spans="1:8" x14ac:dyDescent="0.3">
      <c r="A108" s="1" t="s">
        <v>8</v>
      </c>
      <c r="B108" s="1" t="s">
        <v>21</v>
      </c>
      <c r="C108" s="1" t="s">
        <v>16</v>
      </c>
      <c r="D108" s="1" t="s">
        <v>11</v>
      </c>
      <c r="E108" s="1" t="s">
        <v>12</v>
      </c>
      <c r="F108" s="1">
        <v>87</v>
      </c>
      <c r="G108" s="1">
        <v>100</v>
      </c>
      <c r="H108" s="1">
        <v>100</v>
      </c>
    </row>
    <row r="109" spans="1:8" x14ac:dyDescent="0.3">
      <c r="A109" s="1" t="s">
        <v>17</v>
      </c>
      <c r="B109" s="1" t="s">
        <v>24</v>
      </c>
      <c r="C109" s="1" t="s">
        <v>19</v>
      </c>
      <c r="D109" s="1" t="s">
        <v>11</v>
      </c>
      <c r="E109" s="1" t="s">
        <v>15</v>
      </c>
      <c r="F109" s="1">
        <v>66</v>
      </c>
      <c r="G109" s="1">
        <v>63</v>
      </c>
      <c r="H109" s="1">
        <v>64</v>
      </c>
    </row>
    <row r="110" spans="1:8" x14ac:dyDescent="0.3">
      <c r="A110" s="1" t="s">
        <v>8</v>
      </c>
      <c r="B110" s="1" t="s">
        <v>9</v>
      </c>
      <c r="C110" s="1" t="s">
        <v>19</v>
      </c>
      <c r="D110" s="1" t="s">
        <v>20</v>
      </c>
      <c r="E110" s="1" t="s">
        <v>12</v>
      </c>
      <c r="F110" s="1">
        <v>52</v>
      </c>
      <c r="G110" s="1">
        <v>76</v>
      </c>
      <c r="H110" s="1">
        <v>70</v>
      </c>
    </row>
    <row r="111" spans="1:8" x14ac:dyDescent="0.3">
      <c r="A111" s="1" t="s">
        <v>8</v>
      </c>
      <c r="B111" s="1" t="s">
        <v>9</v>
      </c>
      <c r="C111" s="1" t="s">
        <v>23</v>
      </c>
      <c r="D111" s="1" t="s">
        <v>11</v>
      </c>
      <c r="E111" s="1" t="s">
        <v>12</v>
      </c>
      <c r="F111" s="1">
        <v>70</v>
      </c>
      <c r="G111" s="1">
        <v>64</v>
      </c>
      <c r="H111" s="1">
        <v>72</v>
      </c>
    </row>
    <row r="112" spans="1:8" x14ac:dyDescent="0.3">
      <c r="A112" s="1" t="s">
        <v>8</v>
      </c>
      <c r="B112" s="1" t="s">
        <v>21</v>
      </c>
      <c r="C112" s="1" t="s">
        <v>19</v>
      </c>
      <c r="D112" s="1" t="s">
        <v>20</v>
      </c>
      <c r="E112" s="1" t="s">
        <v>15</v>
      </c>
      <c r="F112" s="1">
        <v>77</v>
      </c>
      <c r="G112" s="1">
        <v>89</v>
      </c>
      <c r="H112" s="1">
        <v>98</v>
      </c>
    </row>
    <row r="113" spans="1:8" x14ac:dyDescent="0.3">
      <c r="A113" s="1" t="s">
        <v>17</v>
      </c>
      <c r="B113" s="1" t="s">
        <v>13</v>
      </c>
      <c r="C113" s="1" t="s">
        <v>22</v>
      </c>
      <c r="D113" s="1" t="s">
        <v>11</v>
      </c>
      <c r="E113" s="1" t="s">
        <v>12</v>
      </c>
      <c r="F113" s="1">
        <v>62</v>
      </c>
      <c r="G113" s="1">
        <v>55</v>
      </c>
      <c r="H113" s="1">
        <v>49</v>
      </c>
    </row>
    <row r="114" spans="1:8" x14ac:dyDescent="0.3">
      <c r="A114" s="1" t="s">
        <v>17</v>
      </c>
      <c r="B114" s="1" t="s">
        <v>18</v>
      </c>
      <c r="C114" s="1" t="s">
        <v>19</v>
      </c>
      <c r="D114" s="1" t="s">
        <v>11</v>
      </c>
      <c r="E114" s="1" t="s">
        <v>12</v>
      </c>
      <c r="F114" s="1">
        <v>54</v>
      </c>
      <c r="G114" s="1">
        <v>53</v>
      </c>
      <c r="H114" s="1">
        <v>47</v>
      </c>
    </row>
    <row r="115" spans="1:8" x14ac:dyDescent="0.3">
      <c r="A115" s="1" t="s">
        <v>8</v>
      </c>
      <c r="B115" s="1" t="s">
        <v>21</v>
      </c>
      <c r="C115" s="1" t="s">
        <v>14</v>
      </c>
      <c r="D115" s="1" t="s">
        <v>11</v>
      </c>
      <c r="E115" s="1" t="s">
        <v>12</v>
      </c>
      <c r="F115" s="1">
        <v>51</v>
      </c>
      <c r="G115" s="1">
        <v>58</v>
      </c>
      <c r="H115" s="1">
        <v>54</v>
      </c>
    </row>
    <row r="116" spans="1:8" x14ac:dyDescent="0.3">
      <c r="A116" s="1" t="s">
        <v>8</v>
      </c>
      <c r="B116" s="1" t="s">
        <v>24</v>
      </c>
      <c r="C116" s="1" t="s">
        <v>10</v>
      </c>
      <c r="D116" s="1" t="s">
        <v>11</v>
      </c>
      <c r="E116" s="1" t="s">
        <v>15</v>
      </c>
      <c r="F116" s="1">
        <v>99</v>
      </c>
      <c r="G116" s="1">
        <v>100</v>
      </c>
      <c r="H116" s="1">
        <v>100</v>
      </c>
    </row>
    <row r="117" spans="1:8" x14ac:dyDescent="0.3">
      <c r="A117" s="1" t="s">
        <v>17</v>
      </c>
      <c r="B117" s="1" t="s">
        <v>13</v>
      </c>
      <c r="C117" s="1" t="s">
        <v>22</v>
      </c>
      <c r="D117" s="1" t="s">
        <v>11</v>
      </c>
      <c r="E117" s="1" t="s">
        <v>12</v>
      </c>
      <c r="F117" s="1">
        <v>84</v>
      </c>
      <c r="G117" s="1">
        <v>77</v>
      </c>
      <c r="H117" s="1">
        <v>74</v>
      </c>
    </row>
    <row r="118" spans="1:8" x14ac:dyDescent="0.3">
      <c r="A118" s="1" t="s">
        <v>8</v>
      </c>
      <c r="B118" s="1" t="s">
        <v>9</v>
      </c>
      <c r="C118" s="1" t="s">
        <v>10</v>
      </c>
      <c r="D118" s="1" t="s">
        <v>20</v>
      </c>
      <c r="E118" s="1" t="s">
        <v>12</v>
      </c>
      <c r="F118" s="1">
        <v>75</v>
      </c>
      <c r="G118" s="1">
        <v>85</v>
      </c>
      <c r="H118" s="1">
        <v>82</v>
      </c>
    </row>
    <row r="119" spans="1:8" x14ac:dyDescent="0.3">
      <c r="A119" s="1" t="s">
        <v>8</v>
      </c>
      <c r="B119" s="1" t="s">
        <v>21</v>
      </c>
      <c r="C119" s="1" t="s">
        <v>10</v>
      </c>
      <c r="D119" s="1" t="s">
        <v>11</v>
      </c>
      <c r="E119" s="1" t="s">
        <v>12</v>
      </c>
      <c r="F119" s="1">
        <v>78</v>
      </c>
      <c r="G119" s="1">
        <v>82</v>
      </c>
      <c r="H119" s="1">
        <v>79</v>
      </c>
    </row>
    <row r="120" spans="1:8" x14ac:dyDescent="0.3">
      <c r="A120" s="1" t="s">
        <v>8</v>
      </c>
      <c r="B120" s="1" t="s">
        <v>21</v>
      </c>
      <c r="C120" s="1" t="s">
        <v>23</v>
      </c>
      <c r="D120" s="1" t="s">
        <v>11</v>
      </c>
      <c r="E120" s="1" t="s">
        <v>12</v>
      </c>
      <c r="F120" s="1">
        <v>51</v>
      </c>
      <c r="G120" s="1">
        <v>63</v>
      </c>
      <c r="H120" s="1">
        <v>61</v>
      </c>
    </row>
    <row r="121" spans="1:8" x14ac:dyDescent="0.3">
      <c r="A121" s="1" t="s">
        <v>8</v>
      </c>
      <c r="B121" s="1" t="s">
        <v>13</v>
      </c>
      <c r="C121" s="1" t="s">
        <v>14</v>
      </c>
      <c r="D121" s="1" t="s">
        <v>11</v>
      </c>
      <c r="E121" s="1" t="s">
        <v>12</v>
      </c>
      <c r="F121" s="1">
        <v>55</v>
      </c>
      <c r="G121" s="1">
        <v>69</v>
      </c>
      <c r="H121" s="1">
        <v>65</v>
      </c>
    </row>
    <row r="122" spans="1:8" x14ac:dyDescent="0.3">
      <c r="A122" s="1" t="s">
        <v>8</v>
      </c>
      <c r="B122" s="1" t="s">
        <v>13</v>
      </c>
      <c r="C122" s="1" t="s">
        <v>10</v>
      </c>
      <c r="D122" s="1" t="s">
        <v>11</v>
      </c>
      <c r="E122" s="1" t="s">
        <v>15</v>
      </c>
      <c r="F122" s="1">
        <v>79</v>
      </c>
      <c r="G122" s="1">
        <v>92</v>
      </c>
      <c r="H122" s="1">
        <v>89</v>
      </c>
    </row>
    <row r="123" spans="1:8" x14ac:dyDescent="0.3">
      <c r="A123" s="1" t="s">
        <v>17</v>
      </c>
      <c r="B123" s="1" t="s">
        <v>9</v>
      </c>
      <c r="C123" s="1" t="s">
        <v>19</v>
      </c>
      <c r="D123" s="1" t="s">
        <v>11</v>
      </c>
      <c r="E123" s="1" t="s">
        <v>15</v>
      </c>
      <c r="F123" s="1">
        <v>91</v>
      </c>
      <c r="G123" s="1">
        <v>89</v>
      </c>
      <c r="H123" s="1">
        <v>92</v>
      </c>
    </row>
    <row r="124" spans="1:8" x14ac:dyDescent="0.3">
      <c r="A124" s="1" t="s">
        <v>8</v>
      </c>
      <c r="B124" s="1" t="s">
        <v>13</v>
      </c>
      <c r="C124" s="1" t="s">
        <v>14</v>
      </c>
      <c r="D124" s="1" t="s">
        <v>11</v>
      </c>
      <c r="E124" s="1" t="s">
        <v>15</v>
      </c>
      <c r="F124" s="1">
        <v>88</v>
      </c>
      <c r="G124" s="1">
        <v>93</v>
      </c>
      <c r="H124" s="1">
        <v>93</v>
      </c>
    </row>
    <row r="125" spans="1:8" x14ac:dyDescent="0.3">
      <c r="A125" s="1" t="s">
        <v>17</v>
      </c>
      <c r="B125" s="1" t="s">
        <v>21</v>
      </c>
      <c r="C125" s="1" t="s">
        <v>22</v>
      </c>
      <c r="D125" s="1" t="s">
        <v>20</v>
      </c>
      <c r="E125" s="1" t="s">
        <v>12</v>
      </c>
      <c r="F125" s="1">
        <v>63</v>
      </c>
      <c r="G125" s="1">
        <v>57</v>
      </c>
      <c r="H125" s="1">
        <v>56</v>
      </c>
    </row>
    <row r="126" spans="1:8" x14ac:dyDescent="0.3">
      <c r="A126" s="1" t="s">
        <v>17</v>
      </c>
      <c r="B126" s="1" t="s">
        <v>24</v>
      </c>
      <c r="C126" s="1" t="s">
        <v>14</v>
      </c>
      <c r="D126" s="1" t="s">
        <v>11</v>
      </c>
      <c r="E126" s="1" t="s">
        <v>12</v>
      </c>
      <c r="F126" s="1">
        <v>83</v>
      </c>
      <c r="G126" s="1">
        <v>80</v>
      </c>
      <c r="H126" s="1">
        <v>73</v>
      </c>
    </row>
    <row r="127" spans="1:8" x14ac:dyDescent="0.3">
      <c r="A127" s="1" t="s">
        <v>8</v>
      </c>
      <c r="B127" s="1" t="s">
        <v>9</v>
      </c>
      <c r="C127" s="1" t="s">
        <v>22</v>
      </c>
      <c r="D127" s="1" t="s">
        <v>11</v>
      </c>
      <c r="E127" s="1" t="s">
        <v>12</v>
      </c>
      <c r="F127" s="1">
        <v>87</v>
      </c>
      <c r="G127" s="1">
        <v>95</v>
      </c>
      <c r="H127" s="1">
        <v>86</v>
      </c>
    </row>
    <row r="128" spans="1:8" x14ac:dyDescent="0.3">
      <c r="A128" s="1" t="s">
        <v>17</v>
      </c>
      <c r="B128" s="1" t="s">
        <v>9</v>
      </c>
      <c r="C128" s="1" t="s">
        <v>23</v>
      </c>
      <c r="D128" s="1" t="s">
        <v>11</v>
      </c>
      <c r="E128" s="1" t="s">
        <v>12</v>
      </c>
      <c r="F128" s="1">
        <v>72</v>
      </c>
      <c r="G128" s="1">
        <v>68</v>
      </c>
      <c r="H128" s="1">
        <v>67</v>
      </c>
    </row>
    <row r="129" spans="1:8" x14ac:dyDescent="0.3">
      <c r="A129" s="1" t="s">
        <v>17</v>
      </c>
      <c r="B129" s="1" t="s">
        <v>21</v>
      </c>
      <c r="C129" s="1" t="s">
        <v>14</v>
      </c>
      <c r="D129" s="1" t="s">
        <v>11</v>
      </c>
      <c r="E129" s="1" t="s">
        <v>15</v>
      </c>
      <c r="F129" s="1">
        <v>65</v>
      </c>
      <c r="G129" s="1">
        <v>77</v>
      </c>
      <c r="H129" s="1">
        <v>74</v>
      </c>
    </row>
    <row r="130" spans="1:8" x14ac:dyDescent="0.3">
      <c r="A130" s="1" t="s">
        <v>17</v>
      </c>
      <c r="B130" s="1" t="s">
        <v>21</v>
      </c>
      <c r="C130" s="1" t="s">
        <v>16</v>
      </c>
      <c r="D130" s="1" t="s">
        <v>11</v>
      </c>
      <c r="E130" s="1" t="s">
        <v>12</v>
      </c>
      <c r="F130" s="1">
        <v>82</v>
      </c>
      <c r="G130" s="1">
        <v>82</v>
      </c>
      <c r="H130" s="1">
        <v>74</v>
      </c>
    </row>
    <row r="131" spans="1:8" x14ac:dyDescent="0.3">
      <c r="A131" s="1" t="s">
        <v>8</v>
      </c>
      <c r="B131" s="1" t="s">
        <v>18</v>
      </c>
      <c r="C131" s="1" t="s">
        <v>10</v>
      </c>
      <c r="D131" s="1" t="s">
        <v>11</v>
      </c>
      <c r="E131" s="1" t="s">
        <v>12</v>
      </c>
      <c r="F131" s="1">
        <v>51</v>
      </c>
      <c r="G131" s="1">
        <v>49</v>
      </c>
      <c r="H131" s="1">
        <v>51</v>
      </c>
    </row>
    <row r="132" spans="1:8" x14ac:dyDescent="0.3">
      <c r="A132" s="1" t="s">
        <v>17</v>
      </c>
      <c r="B132" s="1" t="s">
        <v>21</v>
      </c>
      <c r="C132" s="1" t="s">
        <v>16</v>
      </c>
      <c r="D132" s="1" t="s">
        <v>11</v>
      </c>
      <c r="E132" s="1" t="s">
        <v>12</v>
      </c>
      <c r="F132" s="1">
        <v>89</v>
      </c>
      <c r="G132" s="1">
        <v>84</v>
      </c>
      <c r="H132" s="1">
        <v>82</v>
      </c>
    </row>
    <row r="133" spans="1:8" x14ac:dyDescent="0.3">
      <c r="A133" s="1" t="s">
        <v>17</v>
      </c>
      <c r="B133" s="1" t="s">
        <v>13</v>
      </c>
      <c r="C133" s="1" t="s">
        <v>23</v>
      </c>
      <c r="D133" s="1" t="s">
        <v>20</v>
      </c>
      <c r="E133" s="1" t="s">
        <v>15</v>
      </c>
      <c r="F133" s="1">
        <v>53</v>
      </c>
      <c r="G133" s="1">
        <v>37</v>
      </c>
      <c r="H133" s="1">
        <v>40</v>
      </c>
    </row>
    <row r="134" spans="1:8" x14ac:dyDescent="0.3">
      <c r="A134" s="1" t="s">
        <v>17</v>
      </c>
      <c r="B134" s="1" t="s">
        <v>24</v>
      </c>
      <c r="C134" s="1" t="s">
        <v>14</v>
      </c>
      <c r="D134" s="1" t="s">
        <v>20</v>
      </c>
      <c r="E134" s="1" t="s">
        <v>15</v>
      </c>
      <c r="F134" s="1">
        <v>87</v>
      </c>
      <c r="G134" s="1">
        <v>74</v>
      </c>
      <c r="H134" s="1">
        <v>70</v>
      </c>
    </row>
    <row r="135" spans="1:8" x14ac:dyDescent="0.3">
      <c r="A135" s="1" t="s">
        <v>8</v>
      </c>
      <c r="B135" s="1" t="s">
        <v>13</v>
      </c>
      <c r="C135" s="1" t="s">
        <v>14</v>
      </c>
      <c r="D135" s="1" t="s">
        <v>11</v>
      </c>
      <c r="E135" s="1" t="s">
        <v>15</v>
      </c>
      <c r="F135" s="1">
        <v>75</v>
      </c>
      <c r="G135" s="1">
        <v>81</v>
      </c>
      <c r="H135" s="1">
        <v>84</v>
      </c>
    </row>
    <row r="136" spans="1:8" x14ac:dyDescent="0.3">
      <c r="A136" s="1" t="s">
        <v>17</v>
      </c>
      <c r="B136" s="1" t="s">
        <v>21</v>
      </c>
      <c r="C136" s="1" t="s">
        <v>10</v>
      </c>
      <c r="D136" s="1" t="s">
        <v>20</v>
      </c>
      <c r="E136" s="1" t="s">
        <v>15</v>
      </c>
      <c r="F136" s="1">
        <v>74</v>
      </c>
      <c r="G136" s="1">
        <v>79</v>
      </c>
      <c r="H136" s="1">
        <v>75</v>
      </c>
    </row>
    <row r="137" spans="1:8" x14ac:dyDescent="0.3">
      <c r="A137" s="1" t="s">
        <v>17</v>
      </c>
      <c r="B137" s="1" t="s">
        <v>13</v>
      </c>
      <c r="C137" s="1" t="s">
        <v>10</v>
      </c>
      <c r="D137" s="1" t="s">
        <v>11</v>
      </c>
      <c r="E137" s="1" t="s">
        <v>12</v>
      </c>
      <c r="F137" s="1">
        <v>58</v>
      </c>
      <c r="G137" s="1">
        <v>55</v>
      </c>
      <c r="H137" s="1">
        <v>48</v>
      </c>
    </row>
    <row r="138" spans="1:8" x14ac:dyDescent="0.3">
      <c r="A138" s="1" t="s">
        <v>17</v>
      </c>
      <c r="B138" s="1" t="s">
        <v>9</v>
      </c>
      <c r="C138" s="1" t="s">
        <v>23</v>
      </c>
      <c r="D138" s="1" t="s">
        <v>11</v>
      </c>
      <c r="E138" s="1" t="s">
        <v>15</v>
      </c>
      <c r="F138" s="1">
        <v>51</v>
      </c>
      <c r="G138" s="1">
        <v>54</v>
      </c>
      <c r="H138" s="1">
        <v>41</v>
      </c>
    </row>
    <row r="139" spans="1:8" x14ac:dyDescent="0.3">
      <c r="A139" s="1" t="s">
        <v>17</v>
      </c>
      <c r="B139" s="1" t="s">
        <v>24</v>
      </c>
      <c r="C139" s="1" t="s">
        <v>22</v>
      </c>
      <c r="D139" s="1" t="s">
        <v>11</v>
      </c>
      <c r="E139" s="1" t="s">
        <v>12</v>
      </c>
      <c r="F139" s="1">
        <v>70</v>
      </c>
      <c r="G139" s="1">
        <v>55</v>
      </c>
      <c r="H139" s="1">
        <v>56</v>
      </c>
    </row>
    <row r="140" spans="1:8" x14ac:dyDescent="0.3">
      <c r="A140" s="1" t="s">
        <v>8</v>
      </c>
      <c r="B140" s="1" t="s">
        <v>13</v>
      </c>
      <c r="C140" s="1" t="s">
        <v>19</v>
      </c>
      <c r="D140" s="1" t="s">
        <v>11</v>
      </c>
      <c r="E140" s="1" t="s">
        <v>12</v>
      </c>
      <c r="F140" s="1">
        <v>59</v>
      </c>
      <c r="G140" s="1">
        <v>66</v>
      </c>
      <c r="H140" s="1">
        <v>67</v>
      </c>
    </row>
    <row r="141" spans="1:8" x14ac:dyDescent="0.3">
      <c r="A141" s="1" t="s">
        <v>17</v>
      </c>
      <c r="B141" s="1" t="s">
        <v>21</v>
      </c>
      <c r="C141" s="1" t="s">
        <v>14</v>
      </c>
      <c r="D141" s="1" t="s">
        <v>11</v>
      </c>
      <c r="E141" s="1" t="s">
        <v>15</v>
      </c>
      <c r="F141" s="1">
        <v>71</v>
      </c>
      <c r="G141" s="1">
        <v>61</v>
      </c>
      <c r="H141" s="1">
        <v>69</v>
      </c>
    </row>
    <row r="142" spans="1:8" x14ac:dyDescent="0.3">
      <c r="A142" s="1" t="s">
        <v>8</v>
      </c>
      <c r="B142" s="1" t="s">
        <v>21</v>
      </c>
      <c r="C142" s="1" t="s">
        <v>23</v>
      </c>
      <c r="D142" s="1" t="s">
        <v>11</v>
      </c>
      <c r="E142" s="1" t="s">
        <v>12</v>
      </c>
      <c r="F142" s="1">
        <v>76</v>
      </c>
      <c r="G142" s="1">
        <v>72</v>
      </c>
      <c r="H142" s="1">
        <v>71</v>
      </c>
    </row>
    <row r="143" spans="1:8" x14ac:dyDescent="0.3">
      <c r="A143" s="1" t="s">
        <v>8</v>
      </c>
      <c r="B143" s="1" t="s">
        <v>13</v>
      </c>
      <c r="C143" s="1" t="s">
        <v>14</v>
      </c>
      <c r="D143" s="1" t="s">
        <v>20</v>
      </c>
      <c r="E143" s="1" t="s">
        <v>12</v>
      </c>
      <c r="F143" s="1">
        <v>59</v>
      </c>
      <c r="G143" s="1">
        <v>62</v>
      </c>
      <c r="H143" s="1">
        <v>64</v>
      </c>
    </row>
    <row r="144" spans="1:8" x14ac:dyDescent="0.3">
      <c r="A144" s="1" t="s">
        <v>8</v>
      </c>
      <c r="B144" s="1" t="s">
        <v>24</v>
      </c>
      <c r="C144" s="1" t="s">
        <v>14</v>
      </c>
      <c r="D144" s="1" t="s">
        <v>20</v>
      </c>
      <c r="E144" s="1" t="s">
        <v>15</v>
      </c>
      <c r="F144" s="1">
        <v>42</v>
      </c>
      <c r="G144" s="1">
        <v>55</v>
      </c>
      <c r="H144" s="1">
        <v>54</v>
      </c>
    </row>
    <row r="145" spans="1:8" x14ac:dyDescent="0.3">
      <c r="A145" s="1" t="s">
        <v>17</v>
      </c>
      <c r="B145" s="1" t="s">
        <v>18</v>
      </c>
      <c r="C145" s="1" t="s">
        <v>22</v>
      </c>
      <c r="D145" s="1" t="s">
        <v>11</v>
      </c>
      <c r="E145" s="1" t="s">
        <v>12</v>
      </c>
      <c r="F145" s="1">
        <v>57</v>
      </c>
      <c r="G145" s="1">
        <v>43</v>
      </c>
      <c r="H145" s="1">
        <v>47</v>
      </c>
    </row>
    <row r="146" spans="1:8" x14ac:dyDescent="0.3">
      <c r="A146" s="1" t="s">
        <v>17</v>
      </c>
      <c r="B146" s="1" t="s">
        <v>21</v>
      </c>
      <c r="C146" s="1" t="s">
        <v>14</v>
      </c>
      <c r="D146" s="1" t="s">
        <v>11</v>
      </c>
      <c r="E146" s="1" t="s">
        <v>12</v>
      </c>
      <c r="F146" s="1">
        <v>88</v>
      </c>
      <c r="G146" s="1">
        <v>73</v>
      </c>
      <c r="H146" s="1">
        <v>78</v>
      </c>
    </row>
    <row r="147" spans="1:8" x14ac:dyDescent="0.3">
      <c r="A147" s="1" t="s">
        <v>8</v>
      </c>
      <c r="B147" s="1" t="s">
        <v>13</v>
      </c>
      <c r="C147" s="1" t="s">
        <v>14</v>
      </c>
      <c r="D147" s="1" t="s">
        <v>20</v>
      </c>
      <c r="E147" s="1" t="s">
        <v>12</v>
      </c>
      <c r="F147" s="1">
        <v>22</v>
      </c>
      <c r="G147" s="1">
        <v>39</v>
      </c>
      <c r="H147" s="1">
        <v>33</v>
      </c>
    </row>
    <row r="148" spans="1:8" x14ac:dyDescent="0.3">
      <c r="A148" s="1" t="s">
        <v>17</v>
      </c>
      <c r="B148" s="1" t="s">
        <v>9</v>
      </c>
      <c r="C148" s="1" t="s">
        <v>23</v>
      </c>
      <c r="D148" s="1" t="s">
        <v>11</v>
      </c>
      <c r="E148" s="1" t="s">
        <v>12</v>
      </c>
      <c r="F148" s="1">
        <v>88</v>
      </c>
      <c r="G148" s="1">
        <v>84</v>
      </c>
      <c r="H148" s="1">
        <v>75</v>
      </c>
    </row>
    <row r="149" spans="1:8" x14ac:dyDescent="0.3">
      <c r="A149" s="1" t="s">
        <v>17</v>
      </c>
      <c r="B149" s="1" t="s">
        <v>13</v>
      </c>
      <c r="C149" s="1" t="s">
        <v>19</v>
      </c>
      <c r="D149" s="1" t="s">
        <v>20</v>
      </c>
      <c r="E149" s="1" t="s">
        <v>12</v>
      </c>
      <c r="F149" s="1">
        <v>73</v>
      </c>
      <c r="G149" s="1">
        <v>68</v>
      </c>
      <c r="H149" s="1">
        <v>66</v>
      </c>
    </row>
    <row r="150" spans="1:8" x14ac:dyDescent="0.3">
      <c r="A150" s="1" t="s">
        <v>8</v>
      </c>
      <c r="B150" s="1" t="s">
        <v>21</v>
      </c>
      <c r="C150" s="1" t="s">
        <v>10</v>
      </c>
      <c r="D150" s="1" t="s">
        <v>11</v>
      </c>
      <c r="E150" s="1" t="s">
        <v>15</v>
      </c>
      <c r="F150" s="1">
        <v>68</v>
      </c>
      <c r="G150" s="1">
        <v>75</v>
      </c>
      <c r="H150" s="1">
        <v>81</v>
      </c>
    </row>
    <row r="151" spans="1:8" x14ac:dyDescent="0.3">
      <c r="A151" s="1" t="s">
        <v>17</v>
      </c>
      <c r="B151" s="1" t="s">
        <v>24</v>
      </c>
      <c r="C151" s="1" t="s">
        <v>19</v>
      </c>
      <c r="D151" s="1" t="s">
        <v>20</v>
      </c>
      <c r="E151" s="1" t="s">
        <v>15</v>
      </c>
      <c r="F151" s="1">
        <v>100</v>
      </c>
      <c r="G151" s="1">
        <v>100</v>
      </c>
      <c r="H151" s="1">
        <v>93</v>
      </c>
    </row>
    <row r="152" spans="1:8" x14ac:dyDescent="0.3">
      <c r="A152" s="1" t="s">
        <v>17</v>
      </c>
      <c r="B152" s="1" t="s">
        <v>18</v>
      </c>
      <c r="C152" s="1" t="s">
        <v>23</v>
      </c>
      <c r="D152" s="1" t="s">
        <v>11</v>
      </c>
      <c r="E152" s="1" t="s">
        <v>15</v>
      </c>
      <c r="F152" s="1">
        <v>62</v>
      </c>
      <c r="G152" s="1">
        <v>67</v>
      </c>
      <c r="H152" s="1">
        <v>69</v>
      </c>
    </row>
    <row r="153" spans="1:8" x14ac:dyDescent="0.3">
      <c r="A153" s="1" t="s">
        <v>17</v>
      </c>
      <c r="B153" s="1" t="s">
        <v>18</v>
      </c>
      <c r="C153" s="1" t="s">
        <v>10</v>
      </c>
      <c r="D153" s="1" t="s">
        <v>11</v>
      </c>
      <c r="E153" s="1" t="s">
        <v>12</v>
      </c>
      <c r="F153" s="1">
        <v>77</v>
      </c>
      <c r="G153" s="1">
        <v>67</v>
      </c>
      <c r="H153" s="1">
        <v>68</v>
      </c>
    </row>
    <row r="154" spans="1:8" x14ac:dyDescent="0.3">
      <c r="A154" s="1" t="s">
        <v>8</v>
      </c>
      <c r="B154" s="1" t="s">
        <v>9</v>
      </c>
      <c r="C154" s="1" t="s">
        <v>19</v>
      </c>
      <c r="D154" s="1" t="s">
        <v>11</v>
      </c>
      <c r="E154" s="1" t="s">
        <v>15</v>
      </c>
      <c r="F154" s="1">
        <v>59</v>
      </c>
      <c r="G154" s="1">
        <v>70</v>
      </c>
      <c r="H154" s="1">
        <v>66</v>
      </c>
    </row>
    <row r="155" spans="1:8" x14ac:dyDescent="0.3">
      <c r="A155" s="1" t="s">
        <v>17</v>
      </c>
      <c r="B155" s="1" t="s">
        <v>21</v>
      </c>
      <c r="C155" s="1" t="s">
        <v>10</v>
      </c>
      <c r="D155" s="1" t="s">
        <v>11</v>
      </c>
      <c r="E155" s="1" t="s">
        <v>12</v>
      </c>
      <c r="F155" s="1">
        <v>54</v>
      </c>
      <c r="G155" s="1">
        <v>49</v>
      </c>
      <c r="H155" s="1">
        <v>47</v>
      </c>
    </row>
    <row r="156" spans="1:8" x14ac:dyDescent="0.3">
      <c r="A156" s="1" t="s">
        <v>17</v>
      </c>
      <c r="B156" s="1" t="s">
        <v>21</v>
      </c>
      <c r="C156" s="1" t="s">
        <v>23</v>
      </c>
      <c r="D156" s="1" t="s">
        <v>11</v>
      </c>
      <c r="E156" s="1" t="s">
        <v>12</v>
      </c>
      <c r="F156" s="1">
        <v>62</v>
      </c>
      <c r="G156" s="1">
        <v>67</v>
      </c>
      <c r="H156" s="1">
        <v>61</v>
      </c>
    </row>
    <row r="157" spans="1:8" x14ac:dyDescent="0.3">
      <c r="A157" s="1" t="s">
        <v>8</v>
      </c>
      <c r="B157" s="1" t="s">
        <v>13</v>
      </c>
      <c r="C157" s="1" t="s">
        <v>14</v>
      </c>
      <c r="D157" s="1" t="s">
        <v>11</v>
      </c>
      <c r="E157" s="1" t="s">
        <v>15</v>
      </c>
      <c r="F157" s="1">
        <v>70</v>
      </c>
      <c r="G157" s="1">
        <v>89</v>
      </c>
      <c r="H157" s="1">
        <v>88</v>
      </c>
    </row>
    <row r="158" spans="1:8" x14ac:dyDescent="0.3">
      <c r="A158" s="1" t="s">
        <v>8</v>
      </c>
      <c r="B158" s="1" t="s">
        <v>24</v>
      </c>
      <c r="C158" s="1" t="s">
        <v>22</v>
      </c>
      <c r="D158" s="1" t="s">
        <v>20</v>
      </c>
      <c r="E158" s="1" t="s">
        <v>15</v>
      </c>
      <c r="F158" s="1">
        <v>66</v>
      </c>
      <c r="G158" s="1">
        <v>74</v>
      </c>
      <c r="H158" s="1">
        <v>78</v>
      </c>
    </row>
    <row r="159" spans="1:8" x14ac:dyDescent="0.3">
      <c r="A159" s="1" t="s">
        <v>17</v>
      </c>
      <c r="B159" s="1" t="s">
        <v>9</v>
      </c>
      <c r="C159" s="1" t="s">
        <v>14</v>
      </c>
      <c r="D159" s="1" t="s">
        <v>20</v>
      </c>
      <c r="E159" s="1" t="s">
        <v>12</v>
      </c>
      <c r="F159" s="1">
        <v>60</v>
      </c>
      <c r="G159" s="1">
        <v>60</v>
      </c>
      <c r="H159" s="1">
        <v>60</v>
      </c>
    </row>
    <row r="160" spans="1:8" x14ac:dyDescent="0.3">
      <c r="A160" s="1" t="s">
        <v>8</v>
      </c>
      <c r="B160" s="1" t="s">
        <v>9</v>
      </c>
      <c r="C160" s="1" t="s">
        <v>19</v>
      </c>
      <c r="D160" s="1" t="s">
        <v>11</v>
      </c>
      <c r="E160" s="1" t="s">
        <v>15</v>
      </c>
      <c r="F160" s="1">
        <v>61</v>
      </c>
      <c r="G160" s="1">
        <v>86</v>
      </c>
      <c r="H160" s="1">
        <v>87</v>
      </c>
    </row>
    <row r="161" spans="1:8" x14ac:dyDescent="0.3">
      <c r="A161" s="1" t="s">
        <v>17</v>
      </c>
      <c r="B161" s="1" t="s">
        <v>21</v>
      </c>
      <c r="C161" s="1" t="s">
        <v>19</v>
      </c>
      <c r="D161" s="1" t="s">
        <v>20</v>
      </c>
      <c r="E161" s="1" t="s">
        <v>12</v>
      </c>
      <c r="F161" s="1">
        <v>66</v>
      </c>
      <c r="G161" s="1">
        <v>62</v>
      </c>
      <c r="H161" s="1">
        <v>64</v>
      </c>
    </row>
    <row r="162" spans="1:8" x14ac:dyDescent="0.3">
      <c r="A162" s="1" t="s">
        <v>17</v>
      </c>
      <c r="B162" s="1" t="s">
        <v>9</v>
      </c>
      <c r="C162" s="1" t="s">
        <v>19</v>
      </c>
      <c r="D162" s="1" t="s">
        <v>20</v>
      </c>
      <c r="E162" s="1" t="s">
        <v>15</v>
      </c>
      <c r="F162" s="1">
        <v>82</v>
      </c>
      <c r="G162" s="1">
        <v>78</v>
      </c>
      <c r="H162" s="1">
        <v>74</v>
      </c>
    </row>
    <row r="163" spans="1:8" x14ac:dyDescent="0.3">
      <c r="A163" s="1" t="s">
        <v>8</v>
      </c>
      <c r="B163" s="1" t="s">
        <v>24</v>
      </c>
      <c r="C163" s="1" t="s">
        <v>14</v>
      </c>
      <c r="D163" s="1" t="s">
        <v>20</v>
      </c>
      <c r="E163" s="1" t="s">
        <v>15</v>
      </c>
      <c r="F163" s="1">
        <v>75</v>
      </c>
      <c r="G163" s="1">
        <v>88</v>
      </c>
      <c r="H163" s="1">
        <v>85</v>
      </c>
    </row>
    <row r="164" spans="1:8" x14ac:dyDescent="0.3">
      <c r="A164" s="1" t="s">
        <v>17</v>
      </c>
      <c r="B164" s="1" t="s">
        <v>9</v>
      </c>
      <c r="C164" s="1" t="s">
        <v>16</v>
      </c>
      <c r="D164" s="1" t="s">
        <v>20</v>
      </c>
      <c r="E164" s="1" t="s">
        <v>12</v>
      </c>
      <c r="F164" s="1">
        <v>49</v>
      </c>
      <c r="G164" s="1">
        <v>53</v>
      </c>
      <c r="H164" s="1">
        <v>52</v>
      </c>
    </row>
    <row r="165" spans="1:8" x14ac:dyDescent="0.3">
      <c r="A165" s="1" t="s">
        <v>17</v>
      </c>
      <c r="B165" s="1" t="s">
        <v>13</v>
      </c>
      <c r="C165" s="1" t="s">
        <v>22</v>
      </c>
      <c r="D165" s="1" t="s">
        <v>11</v>
      </c>
      <c r="E165" s="1" t="s">
        <v>12</v>
      </c>
      <c r="F165" s="1">
        <v>52</v>
      </c>
      <c r="G165" s="1">
        <v>53</v>
      </c>
      <c r="H165" s="1">
        <v>49</v>
      </c>
    </row>
    <row r="166" spans="1:8" x14ac:dyDescent="0.3">
      <c r="A166" s="1" t="s">
        <v>8</v>
      </c>
      <c r="B166" s="1" t="s">
        <v>24</v>
      </c>
      <c r="C166" s="1" t="s">
        <v>16</v>
      </c>
      <c r="D166" s="1" t="s">
        <v>11</v>
      </c>
      <c r="E166" s="1" t="s">
        <v>12</v>
      </c>
      <c r="F166" s="1">
        <v>81</v>
      </c>
      <c r="G166" s="1">
        <v>92</v>
      </c>
      <c r="H166" s="1">
        <v>91</v>
      </c>
    </row>
    <row r="167" spans="1:8" x14ac:dyDescent="0.3">
      <c r="A167" s="1" t="s">
        <v>8</v>
      </c>
      <c r="B167" s="1" t="s">
        <v>13</v>
      </c>
      <c r="C167" s="1" t="s">
        <v>10</v>
      </c>
      <c r="D167" s="1" t="s">
        <v>11</v>
      </c>
      <c r="E167" s="1" t="s">
        <v>15</v>
      </c>
      <c r="F167" s="1">
        <v>96</v>
      </c>
      <c r="G167" s="1">
        <v>100</v>
      </c>
      <c r="H167" s="1">
        <v>100</v>
      </c>
    </row>
    <row r="168" spans="1:8" x14ac:dyDescent="0.3">
      <c r="A168" s="1" t="s">
        <v>17</v>
      </c>
      <c r="B168" s="1" t="s">
        <v>13</v>
      </c>
      <c r="C168" s="1" t="s">
        <v>22</v>
      </c>
      <c r="D168" s="1" t="s">
        <v>20</v>
      </c>
      <c r="E168" s="1" t="s">
        <v>15</v>
      </c>
      <c r="F168" s="1">
        <v>53</v>
      </c>
      <c r="G168" s="1">
        <v>51</v>
      </c>
      <c r="H168" s="1">
        <v>51</v>
      </c>
    </row>
    <row r="169" spans="1:8" x14ac:dyDescent="0.3">
      <c r="A169" s="1" t="s">
        <v>8</v>
      </c>
      <c r="B169" s="1" t="s">
        <v>9</v>
      </c>
      <c r="C169" s="1" t="s">
        <v>16</v>
      </c>
      <c r="D169" s="1" t="s">
        <v>20</v>
      </c>
      <c r="E169" s="1" t="s">
        <v>15</v>
      </c>
      <c r="F169" s="1">
        <v>58</v>
      </c>
      <c r="G169" s="1">
        <v>76</v>
      </c>
      <c r="H169" s="1">
        <v>78</v>
      </c>
    </row>
    <row r="170" spans="1:8" x14ac:dyDescent="0.3">
      <c r="A170" s="1" t="s">
        <v>8</v>
      </c>
      <c r="B170" s="1" t="s">
        <v>9</v>
      </c>
      <c r="C170" s="1" t="s">
        <v>22</v>
      </c>
      <c r="D170" s="1" t="s">
        <v>11</v>
      </c>
      <c r="E170" s="1" t="s">
        <v>15</v>
      </c>
      <c r="F170" s="1">
        <v>68</v>
      </c>
      <c r="G170" s="1">
        <v>83</v>
      </c>
      <c r="H170" s="1">
        <v>78</v>
      </c>
    </row>
    <row r="171" spans="1:8" x14ac:dyDescent="0.3">
      <c r="A171" s="1" t="s">
        <v>8</v>
      </c>
      <c r="B171" s="1" t="s">
        <v>13</v>
      </c>
      <c r="C171" s="1" t="s">
        <v>14</v>
      </c>
      <c r="D171" s="1" t="s">
        <v>20</v>
      </c>
      <c r="E171" s="1" t="s">
        <v>15</v>
      </c>
      <c r="F171" s="1">
        <v>67</v>
      </c>
      <c r="G171" s="1">
        <v>75</v>
      </c>
      <c r="H171" s="1">
        <v>70</v>
      </c>
    </row>
    <row r="172" spans="1:8" x14ac:dyDescent="0.3">
      <c r="A172" s="1" t="s">
        <v>17</v>
      </c>
      <c r="B172" s="1" t="s">
        <v>18</v>
      </c>
      <c r="C172" s="1" t="s">
        <v>22</v>
      </c>
      <c r="D172" s="1" t="s">
        <v>11</v>
      </c>
      <c r="E172" s="1" t="s">
        <v>15</v>
      </c>
      <c r="F172" s="1">
        <v>72</v>
      </c>
      <c r="G172" s="1">
        <v>73</v>
      </c>
      <c r="H172" s="1">
        <v>74</v>
      </c>
    </row>
    <row r="173" spans="1:8" x14ac:dyDescent="0.3">
      <c r="A173" s="1" t="s">
        <v>17</v>
      </c>
      <c r="B173" s="1" t="s">
        <v>24</v>
      </c>
      <c r="C173" s="1" t="s">
        <v>23</v>
      </c>
      <c r="D173" s="1" t="s">
        <v>11</v>
      </c>
      <c r="E173" s="1" t="s">
        <v>12</v>
      </c>
      <c r="F173" s="1">
        <v>94</v>
      </c>
      <c r="G173" s="1">
        <v>88</v>
      </c>
      <c r="H173" s="1">
        <v>78</v>
      </c>
    </row>
    <row r="174" spans="1:8" x14ac:dyDescent="0.3">
      <c r="A174" s="1" t="s">
        <v>8</v>
      </c>
      <c r="B174" s="1" t="s">
        <v>21</v>
      </c>
      <c r="C174" s="1" t="s">
        <v>14</v>
      </c>
      <c r="D174" s="1" t="s">
        <v>11</v>
      </c>
      <c r="E174" s="1" t="s">
        <v>12</v>
      </c>
      <c r="F174" s="1">
        <v>79</v>
      </c>
      <c r="G174" s="1">
        <v>86</v>
      </c>
      <c r="H174" s="1">
        <v>81</v>
      </c>
    </row>
    <row r="175" spans="1:8" x14ac:dyDescent="0.3">
      <c r="A175" s="1" t="s">
        <v>8</v>
      </c>
      <c r="B175" s="1" t="s">
        <v>13</v>
      </c>
      <c r="C175" s="1" t="s">
        <v>19</v>
      </c>
      <c r="D175" s="1" t="s">
        <v>11</v>
      </c>
      <c r="E175" s="1" t="s">
        <v>12</v>
      </c>
      <c r="F175" s="1">
        <v>63</v>
      </c>
      <c r="G175" s="1">
        <v>67</v>
      </c>
      <c r="H175" s="1">
        <v>70</v>
      </c>
    </row>
    <row r="176" spans="1:8" x14ac:dyDescent="0.3">
      <c r="A176" s="1" t="s">
        <v>8</v>
      </c>
      <c r="B176" s="1" t="s">
        <v>13</v>
      </c>
      <c r="C176" s="1" t="s">
        <v>10</v>
      </c>
      <c r="D176" s="1" t="s">
        <v>20</v>
      </c>
      <c r="E176" s="1" t="s">
        <v>15</v>
      </c>
      <c r="F176" s="1">
        <v>43</v>
      </c>
      <c r="G176" s="1">
        <v>51</v>
      </c>
      <c r="H176" s="1">
        <v>54</v>
      </c>
    </row>
    <row r="177" spans="1:8" x14ac:dyDescent="0.3">
      <c r="A177" s="1" t="s">
        <v>8</v>
      </c>
      <c r="B177" s="1" t="s">
        <v>13</v>
      </c>
      <c r="C177" s="1" t="s">
        <v>16</v>
      </c>
      <c r="D177" s="1" t="s">
        <v>11</v>
      </c>
      <c r="E177" s="1" t="s">
        <v>15</v>
      </c>
      <c r="F177" s="1">
        <v>81</v>
      </c>
      <c r="G177" s="1">
        <v>91</v>
      </c>
      <c r="H177" s="1">
        <v>87</v>
      </c>
    </row>
    <row r="178" spans="1:8" x14ac:dyDescent="0.3">
      <c r="A178" s="1" t="s">
        <v>8</v>
      </c>
      <c r="B178" s="1" t="s">
        <v>9</v>
      </c>
      <c r="C178" s="1" t="s">
        <v>22</v>
      </c>
      <c r="D178" s="1" t="s">
        <v>20</v>
      </c>
      <c r="E178" s="1" t="s">
        <v>15</v>
      </c>
      <c r="F178" s="1">
        <v>46</v>
      </c>
      <c r="G178" s="1">
        <v>54</v>
      </c>
      <c r="H178" s="1">
        <v>58</v>
      </c>
    </row>
    <row r="179" spans="1:8" x14ac:dyDescent="0.3">
      <c r="A179" s="1" t="s">
        <v>8</v>
      </c>
      <c r="B179" s="1" t="s">
        <v>13</v>
      </c>
      <c r="C179" s="1" t="s">
        <v>19</v>
      </c>
      <c r="D179" s="1" t="s">
        <v>11</v>
      </c>
      <c r="E179" s="1" t="s">
        <v>15</v>
      </c>
      <c r="F179" s="1">
        <v>71</v>
      </c>
      <c r="G179" s="1">
        <v>77</v>
      </c>
      <c r="H179" s="1">
        <v>77</v>
      </c>
    </row>
    <row r="180" spans="1:8" x14ac:dyDescent="0.3">
      <c r="A180" s="1" t="s">
        <v>8</v>
      </c>
      <c r="B180" s="1" t="s">
        <v>9</v>
      </c>
      <c r="C180" s="1" t="s">
        <v>16</v>
      </c>
      <c r="D180" s="1" t="s">
        <v>20</v>
      </c>
      <c r="E180" s="1" t="s">
        <v>15</v>
      </c>
      <c r="F180" s="1">
        <v>52</v>
      </c>
      <c r="G180" s="1">
        <v>70</v>
      </c>
      <c r="H180" s="1">
        <v>62</v>
      </c>
    </row>
    <row r="181" spans="1:8" x14ac:dyDescent="0.3">
      <c r="A181" s="1" t="s">
        <v>8</v>
      </c>
      <c r="B181" s="1" t="s">
        <v>21</v>
      </c>
      <c r="C181" s="1" t="s">
        <v>23</v>
      </c>
      <c r="D181" s="1" t="s">
        <v>11</v>
      </c>
      <c r="E181" s="1" t="s">
        <v>15</v>
      </c>
      <c r="F181" s="1">
        <v>97</v>
      </c>
      <c r="G181" s="1">
        <v>100</v>
      </c>
      <c r="H181" s="1">
        <v>100</v>
      </c>
    </row>
    <row r="182" spans="1:8" x14ac:dyDescent="0.3">
      <c r="A182" s="1" t="s">
        <v>17</v>
      </c>
      <c r="B182" s="1" t="s">
        <v>13</v>
      </c>
      <c r="C182" s="1" t="s">
        <v>16</v>
      </c>
      <c r="D182" s="1" t="s">
        <v>20</v>
      </c>
      <c r="E182" s="1" t="s">
        <v>15</v>
      </c>
      <c r="F182" s="1">
        <v>62</v>
      </c>
      <c r="G182" s="1">
        <v>68</v>
      </c>
      <c r="H182" s="1">
        <v>75</v>
      </c>
    </row>
    <row r="183" spans="1:8" x14ac:dyDescent="0.3">
      <c r="A183" s="1" t="s">
        <v>8</v>
      </c>
      <c r="B183" s="1" t="s">
        <v>13</v>
      </c>
      <c r="C183" s="1" t="s">
        <v>14</v>
      </c>
      <c r="D183" s="1" t="s">
        <v>20</v>
      </c>
      <c r="E183" s="1" t="s">
        <v>12</v>
      </c>
      <c r="F183" s="1">
        <v>46</v>
      </c>
      <c r="G183" s="1">
        <v>64</v>
      </c>
      <c r="H183" s="1">
        <v>66</v>
      </c>
    </row>
    <row r="184" spans="1:8" x14ac:dyDescent="0.3">
      <c r="A184" s="1" t="s">
        <v>8</v>
      </c>
      <c r="B184" s="1" t="s">
        <v>24</v>
      </c>
      <c r="C184" s="1" t="s">
        <v>22</v>
      </c>
      <c r="D184" s="1" t="s">
        <v>11</v>
      </c>
      <c r="E184" s="1" t="s">
        <v>12</v>
      </c>
      <c r="F184" s="1">
        <v>50</v>
      </c>
      <c r="G184" s="1">
        <v>50</v>
      </c>
      <c r="H184" s="1">
        <v>47</v>
      </c>
    </row>
    <row r="185" spans="1:8" x14ac:dyDescent="0.3">
      <c r="A185" s="1" t="s">
        <v>8</v>
      </c>
      <c r="B185" s="1" t="s">
        <v>21</v>
      </c>
      <c r="C185" s="1" t="s">
        <v>19</v>
      </c>
      <c r="D185" s="1" t="s">
        <v>11</v>
      </c>
      <c r="E185" s="1" t="s">
        <v>12</v>
      </c>
      <c r="F185" s="1">
        <v>65</v>
      </c>
      <c r="G185" s="1">
        <v>69</v>
      </c>
      <c r="H185" s="1">
        <v>70</v>
      </c>
    </row>
    <row r="186" spans="1:8" x14ac:dyDescent="0.3">
      <c r="A186" s="1" t="s">
        <v>17</v>
      </c>
      <c r="B186" s="1" t="s">
        <v>13</v>
      </c>
      <c r="C186" s="1" t="s">
        <v>23</v>
      </c>
      <c r="D186" s="1" t="s">
        <v>20</v>
      </c>
      <c r="E186" s="1" t="s">
        <v>15</v>
      </c>
      <c r="F186" s="1">
        <v>45</v>
      </c>
      <c r="G186" s="1">
        <v>52</v>
      </c>
      <c r="H186" s="1">
        <v>49</v>
      </c>
    </row>
    <row r="187" spans="1:8" x14ac:dyDescent="0.3">
      <c r="A187" s="1" t="s">
        <v>17</v>
      </c>
      <c r="B187" s="1" t="s">
        <v>13</v>
      </c>
      <c r="C187" s="1" t="s">
        <v>19</v>
      </c>
      <c r="D187" s="1" t="s">
        <v>20</v>
      </c>
      <c r="E187" s="1" t="s">
        <v>15</v>
      </c>
      <c r="F187" s="1">
        <v>65</v>
      </c>
      <c r="G187" s="1">
        <v>67</v>
      </c>
      <c r="H187" s="1">
        <v>65</v>
      </c>
    </row>
    <row r="188" spans="1:8" x14ac:dyDescent="0.3">
      <c r="A188" s="1" t="s">
        <v>17</v>
      </c>
      <c r="B188" s="1" t="s">
        <v>24</v>
      </c>
      <c r="C188" s="1" t="s">
        <v>22</v>
      </c>
      <c r="D188" s="1" t="s">
        <v>11</v>
      </c>
      <c r="E188" s="1" t="s">
        <v>12</v>
      </c>
      <c r="F188" s="1">
        <v>80</v>
      </c>
      <c r="G188" s="1">
        <v>76</v>
      </c>
      <c r="H188" s="1">
        <v>65</v>
      </c>
    </row>
    <row r="189" spans="1:8" x14ac:dyDescent="0.3">
      <c r="A189" s="1" t="s">
        <v>17</v>
      </c>
      <c r="B189" s="1" t="s">
        <v>21</v>
      </c>
      <c r="C189" s="1" t="s">
        <v>23</v>
      </c>
      <c r="D189" s="1" t="s">
        <v>11</v>
      </c>
      <c r="E189" s="1" t="s">
        <v>15</v>
      </c>
      <c r="F189" s="1">
        <v>62</v>
      </c>
      <c r="G189" s="1">
        <v>66</v>
      </c>
      <c r="H189" s="1">
        <v>68</v>
      </c>
    </row>
    <row r="190" spans="1:8" x14ac:dyDescent="0.3">
      <c r="A190" s="1" t="s">
        <v>17</v>
      </c>
      <c r="B190" s="1" t="s">
        <v>9</v>
      </c>
      <c r="C190" s="1" t="s">
        <v>23</v>
      </c>
      <c r="D190" s="1" t="s">
        <v>20</v>
      </c>
      <c r="E190" s="1" t="s">
        <v>12</v>
      </c>
      <c r="F190" s="1">
        <v>48</v>
      </c>
      <c r="G190" s="1">
        <v>52</v>
      </c>
      <c r="H190" s="1">
        <v>45</v>
      </c>
    </row>
    <row r="191" spans="1:8" x14ac:dyDescent="0.3">
      <c r="A191" s="1" t="s">
        <v>8</v>
      </c>
      <c r="B191" s="1" t="s">
        <v>13</v>
      </c>
      <c r="C191" s="1" t="s">
        <v>10</v>
      </c>
      <c r="D191" s="1" t="s">
        <v>11</v>
      </c>
      <c r="E191" s="1" t="s">
        <v>12</v>
      </c>
      <c r="F191" s="1">
        <v>77</v>
      </c>
      <c r="G191" s="1">
        <v>88</v>
      </c>
      <c r="H191" s="1">
        <v>87</v>
      </c>
    </row>
    <row r="192" spans="1:8" x14ac:dyDescent="0.3">
      <c r="A192" s="1" t="s">
        <v>8</v>
      </c>
      <c r="B192" s="1" t="s">
        <v>24</v>
      </c>
      <c r="C192" s="1" t="s">
        <v>19</v>
      </c>
      <c r="D192" s="1" t="s">
        <v>11</v>
      </c>
      <c r="E192" s="1" t="s">
        <v>12</v>
      </c>
      <c r="F192" s="1">
        <v>66</v>
      </c>
      <c r="G192" s="1">
        <v>65</v>
      </c>
      <c r="H192" s="1">
        <v>69</v>
      </c>
    </row>
    <row r="193" spans="1:8" x14ac:dyDescent="0.3">
      <c r="A193" s="1" t="s">
        <v>17</v>
      </c>
      <c r="B193" s="1" t="s">
        <v>21</v>
      </c>
      <c r="C193" s="1" t="s">
        <v>14</v>
      </c>
      <c r="D193" s="1" t="s">
        <v>11</v>
      </c>
      <c r="E193" s="1" t="s">
        <v>15</v>
      </c>
      <c r="F193" s="1">
        <v>76</v>
      </c>
      <c r="G193" s="1">
        <v>83</v>
      </c>
      <c r="H193" s="1">
        <v>79</v>
      </c>
    </row>
    <row r="194" spans="1:8" x14ac:dyDescent="0.3">
      <c r="A194" s="1" t="s">
        <v>8</v>
      </c>
      <c r="B194" s="1" t="s">
        <v>9</v>
      </c>
      <c r="C194" s="1" t="s">
        <v>23</v>
      </c>
      <c r="D194" s="1" t="s">
        <v>11</v>
      </c>
      <c r="E194" s="1" t="s">
        <v>12</v>
      </c>
      <c r="F194" s="1">
        <v>62</v>
      </c>
      <c r="G194" s="1">
        <v>64</v>
      </c>
      <c r="H194" s="1">
        <v>66</v>
      </c>
    </row>
    <row r="195" spans="1:8" x14ac:dyDescent="0.3">
      <c r="A195" s="1" t="s">
        <v>17</v>
      </c>
      <c r="B195" s="1" t="s">
        <v>21</v>
      </c>
      <c r="C195" s="1" t="s">
        <v>14</v>
      </c>
      <c r="D195" s="1" t="s">
        <v>11</v>
      </c>
      <c r="E195" s="1" t="s">
        <v>15</v>
      </c>
      <c r="F195" s="1">
        <v>77</v>
      </c>
      <c r="G195" s="1">
        <v>62</v>
      </c>
      <c r="H195" s="1">
        <v>62</v>
      </c>
    </row>
    <row r="196" spans="1:8" x14ac:dyDescent="0.3">
      <c r="A196" s="1" t="s">
        <v>8</v>
      </c>
      <c r="B196" s="1" t="s">
        <v>13</v>
      </c>
      <c r="C196" s="1" t="s">
        <v>16</v>
      </c>
      <c r="D196" s="1" t="s">
        <v>11</v>
      </c>
      <c r="E196" s="1" t="s">
        <v>15</v>
      </c>
      <c r="F196" s="1">
        <v>69</v>
      </c>
      <c r="G196" s="1">
        <v>84</v>
      </c>
      <c r="H196" s="1">
        <v>85</v>
      </c>
    </row>
    <row r="197" spans="1:8" x14ac:dyDescent="0.3">
      <c r="A197" s="1" t="s">
        <v>17</v>
      </c>
      <c r="B197" s="1" t="s">
        <v>21</v>
      </c>
      <c r="C197" s="1" t="s">
        <v>19</v>
      </c>
      <c r="D197" s="1" t="s">
        <v>11</v>
      </c>
      <c r="E197" s="1" t="s">
        <v>12</v>
      </c>
      <c r="F197" s="1">
        <v>61</v>
      </c>
      <c r="G197" s="1">
        <v>55</v>
      </c>
      <c r="H197" s="1">
        <v>52</v>
      </c>
    </row>
    <row r="198" spans="1:8" x14ac:dyDescent="0.3">
      <c r="A198" s="1" t="s">
        <v>17</v>
      </c>
      <c r="B198" s="1" t="s">
        <v>13</v>
      </c>
      <c r="C198" s="1" t="s">
        <v>23</v>
      </c>
      <c r="D198" s="1" t="s">
        <v>20</v>
      </c>
      <c r="E198" s="1" t="s">
        <v>15</v>
      </c>
      <c r="F198" s="1">
        <v>59</v>
      </c>
      <c r="G198" s="1">
        <v>69</v>
      </c>
      <c r="H198" s="1">
        <v>65</v>
      </c>
    </row>
    <row r="199" spans="1:8" x14ac:dyDescent="0.3">
      <c r="A199" s="1" t="s">
        <v>17</v>
      </c>
      <c r="B199" s="1" t="s">
        <v>24</v>
      </c>
      <c r="C199" s="1" t="s">
        <v>22</v>
      </c>
      <c r="D199" s="1" t="s">
        <v>20</v>
      </c>
      <c r="E199" s="1" t="s">
        <v>12</v>
      </c>
      <c r="F199" s="1">
        <v>55</v>
      </c>
      <c r="G199" s="1">
        <v>56</v>
      </c>
      <c r="H199" s="1">
        <v>51</v>
      </c>
    </row>
    <row r="200" spans="1:8" x14ac:dyDescent="0.3">
      <c r="A200" s="1" t="s">
        <v>8</v>
      </c>
      <c r="B200" s="1" t="s">
        <v>9</v>
      </c>
      <c r="C200" s="1" t="s">
        <v>14</v>
      </c>
      <c r="D200" s="1" t="s">
        <v>20</v>
      </c>
      <c r="E200" s="1" t="s">
        <v>12</v>
      </c>
      <c r="F200" s="1">
        <v>45</v>
      </c>
      <c r="G200" s="1">
        <v>53</v>
      </c>
      <c r="H200" s="1">
        <v>55</v>
      </c>
    </row>
    <row r="201" spans="1:8" x14ac:dyDescent="0.3">
      <c r="A201" s="1" t="s">
        <v>8</v>
      </c>
      <c r="B201" s="1" t="s">
        <v>9</v>
      </c>
      <c r="C201" s="1" t="s">
        <v>10</v>
      </c>
      <c r="D201" s="1" t="s">
        <v>20</v>
      </c>
      <c r="E201" s="1" t="s">
        <v>12</v>
      </c>
      <c r="F201" s="1">
        <v>78</v>
      </c>
      <c r="G201" s="1">
        <v>79</v>
      </c>
      <c r="H201" s="1">
        <v>76</v>
      </c>
    </row>
    <row r="202" spans="1:8" x14ac:dyDescent="0.3">
      <c r="A202" s="1" t="s">
        <v>8</v>
      </c>
      <c r="B202" s="1" t="s">
        <v>13</v>
      </c>
      <c r="C202" s="1" t="s">
        <v>19</v>
      </c>
      <c r="D202" s="1" t="s">
        <v>11</v>
      </c>
      <c r="E202" s="1" t="s">
        <v>15</v>
      </c>
      <c r="F202" s="1">
        <v>67</v>
      </c>
      <c r="G202" s="1">
        <v>84</v>
      </c>
      <c r="H202" s="1">
        <v>86</v>
      </c>
    </row>
    <row r="203" spans="1:8" x14ac:dyDescent="0.3">
      <c r="A203" s="1" t="s">
        <v>8</v>
      </c>
      <c r="B203" s="1" t="s">
        <v>21</v>
      </c>
      <c r="C203" s="1" t="s">
        <v>14</v>
      </c>
      <c r="D203" s="1" t="s">
        <v>20</v>
      </c>
      <c r="E203" s="1" t="s">
        <v>12</v>
      </c>
      <c r="F203" s="1">
        <v>65</v>
      </c>
      <c r="G203" s="1">
        <v>81</v>
      </c>
      <c r="H203" s="1">
        <v>77</v>
      </c>
    </row>
    <row r="204" spans="1:8" x14ac:dyDescent="0.3">
      <c r="A204" s="1" t="s">
        <v>17</v>
      </c>
      <c r="B204" s="1" t="s">
        <v>13</v>
      </c>
      <c r="C204" s="1" t="s">
        <v>19</v>
      </c>
      <c r="D204" s="1" t="s">
        <v>11</v>
      </c>
      <c r="E204" s="1" t="s">
        <v>12</v>
      </c>
      <c r="F204" s="1">
        <v>69</v>
      </c>
      <c r="G204" s="1">
        <v>77</v>
      </c>
      <c r="H204" s="1">
        <v>69</v>
      </c>
    </row>
    <row r="205" spans="1:8" x14ac:dyDescent="0.3">
      <c r="A205" s="1" t="s">
        <v>8</v>
      </c>
      <c r="B205" s="1" t="s">
        <v>9</v>
      </c>
      <c r="C205" s="1" t="s">
        <v>19</v>
      </c>
      <c r="D205" s="1" t="s">
        <v>11</v>
      </c>
      <c r="E205" s="1" t="s">
        <v>12</v>
      </c>
      <c r="F205" s="1">
        <v>57</v>
      </c>
      <c r="G205" s="1">
        <v>69</v>
      </c>
      <c r="H205" s="1">
        <v>68</v>
      </c>
    </row>
    <row r="206" spans="1:8" x14ac:dyDescent="0.3">
      <c r="A206" s="1" t="s">
        <v>17</v>
      </c>
      <c r="B206" s="1" t="s">
        <v>13</v>
      </c>
      <c r="C206" s="1" t="s">
        <v>14</v>
      </c>
      <c r="D206" s="1" t="s">
        <v>11</v>
      </c>
      <c r="E206" s="1" t="s">
        <v>12</v>
      </c>
      <c r="F206" s="1">
        <v>59</v>
      </c>
      <c r="G206" s="1">
        <v>41</v>
      </c>
      <c r="H206" s="1">
        <v>42</v>
      </c>
    </row>
    <row r="207" spans="1:8" x14ac:dyDescent="0.3">
      <c r="A207" s="1" t="s">
        <v>17</v>
      </c>
      <c r="B207" s="1" t="s">
        <v>21</v>
      </c>
      <c r="C207" s="1" t="s">
        <v>23</v>
      </c>
      <c r="D207" s="1" t="s">
        <v>11</v>
      </c>
      <c r="E207" s="1" t="s">
        <v>15</v>
      </c>
      <c r="F207" s="1">
        <v>74</v>
      </c>
      <c r="G207" s="1">
        <v>71</v>
      </c>
      <c r="H207" s="1">
        <v>78</v>
      </c>
    </row>
    <row r="208" spans="1:8" x14ac:dyDescent="0.3">
      <c r="A208" s="1" t="s">
        <v>17</v>
      </c>
      <c r="B208" s="1" t="s">
        <v>24</v>
      </c>
      <c r="C208" s="1" t="s">
        <v>10</v>
      </c>
      <c r="D208" s="1" t="s">
        <v>11</v>
      </c>
      <c r="E208" s="1" t="s">
        <v>12</v>
      </c>
      <c r="F208" s="1">
        <v>82</v>
      </c>
      <c r="G208" s="1">
        <v>62</v>
      </c>
      <c r="H208" s="1">
        <v>62</v>
      </c>
    </row>
    <row r="209" spans="1:8" x14ac:dyDescent="0.3">
      <c r="A209" s="1" t="s">
        <v>17</v>
      </c>
      <c r="B209" s="1" t="s">
        <v>24</v>
      </c>
      <c r="C209" s="1" t="s">
        <v>22</v>
      </c>
      <c r="D209" s="1" t="s">
        <v>11</v>
      </c>
      <c r="E209" s="1" t="s">
        <v>15</v>
      </c>
      <c r="F209" s="1">
        <v>81</v>
      </c>
      <c r="G209" s="1">
        <v>80</v>
      </c>
      <c r="H209" s="1">
        <v>76</v>
      </c>
    </row>
    <row r="210" spans="1:8" x14ac:dyDescent="0.3">
      <c r="A210" s="1" t="s">
        <v>8</v>
      </c>
      <c r="B210" s="1" t="s">
        <v>9</v>
      </c>
      <c r="C210" s="1" t="s">
        <v>14</v>
      </c>
      <c r="D210" s="1" t="s">
        <v>20</v>
      </c>
      <c r="E210" s="1" t="s">
        <v>12</v>
      </c>
      <c r="F210" s="1">
        <v>74</v>
      </c>
      <c r="G210" s="1">
        <v>81</v>
      </c>
      <c r="H210" s="1">
        <v>76</v>
      </c>
    </row>
    <row r="211" spans="1:8" x14ac:dyDescent="0.3">
      <c r="A211" s="1" t="s">
        <v>8</v>
      </c>
      <c r="B211" s="1" t="s">
        <v>9</v>
      </c>
      <c r="C211" s="1" t="s">
        <v>14</v>
      </c>
      <c r="D211" s="1" t="s">
        <v>20</v>
      </c>
      <c r="E211" s="1" t="s">
        <v>12</v>
      </c>
      <c r="F211" s="1">
        <v>58</v>
      </c>
      <c r="G211" s="1">
        <v>61</v>
      </c>
      <c r="H211" s="1">
        <v>66</v>
      </c>
    </row>
    <row r="212" spans="1:8" x14ac:dyDescent="0.3">
      <c r="A212" s="1" t="s">
        <v>17</v>
      </c>
      <c r="B212" s="1" t="s">
        <v>21</v>
      </c>
      <c r="C212" s="1" t="s">
        <v>23</v>
      </c>
      <c r="D212" s="1" t="s">
        <v>20</v>
      </c>
      <c r="E212" s="1" t="s">
        <v>15</v>
      </c>
      <c r="F212" s="1">
        <v>80</v>
      </c>
      <c r="G212" s="1">
        <v>79</v>
      </c>
      <c r="H212" s="1">
        <v>79</v>
      </c>
    </row>
    <row r="213" spans="1:8" x14ac:dyDescent="0.3">
      <c r="A213" s="1" t="s">
        <v>17</v>
      </c>
      <c r="B213" s="1" t="s">
        <v>13</v>
      </c>
      <c r="C213" s="1" t="s">
        <v>14</v>
      </c>
      <c r="D213" s="1" t="s">
        <v>20</v>
      </c>
      <c r="E213" s="1" t="s">
        <v>12</v>
      </c>
      <c r="F213" s="1">
        <v>35</v>
      </c>
      <c r="G213" s="1">
        <v>28</v>
      </c>
      <c r="H213" s="1">
        <v>27</v>
      </c>
    </row>
    <row r="214" spans="1:8" x14ac:dyDescent="0.3">
      <c r="A214" s="1" t="s">
        <v>8</v>
      </c>
      <c r="B214" s="1" t="s">
        <v>13</v>
      </c>
      <c r="C214" s="1" t="s">
        <v>22</v>
      </c>
      <c r="D214" s="1" t="s">
        <v>20</v>
      </c>
      <c r="E214" s="1" t="s">
        <v>12</v>
      </c>
      <c r="F214" s="1">
        <v>42</v>
      </c>
      <c r="G214" s="1">
        <v>62</v>
      </c>
      <c r="H214" s="1">
        <v>60</v>
      </c>
    </row>
    <row r="215" spans="1:8" x14ac:dyDescent="0.3">
      <c r="A215" s="1" t="s">
        <v>17</v>
      </c>
      <c r="B215" s="1" t="s">
        <v>13</v>
      </c>
      <c r="C215" s="1" t="s">
        <v>19</v>
      </c>
      <c r="D215" s="1" t="s">
        <v>20</v>
      </c>
      <c r="E215" s="1" t="s">
        <v>15</v>
      </c>
      <c r="F215" s="1">
        <v>60</v>
      </c>
      <c r="G215" s="1">
        <v>51</v>
      </c>
      <c r="H215" s="1">
        <v>56</v>
      </c>
    </row>
    <row r="216" spans="1:8" x14ac:dyDescent="0.3">
      <c r="A216" s="1" t="s">
        <v>17</v>
      </c>
      <c r="B216" s="1" t="s">
        <v>24</v>
      </c>
      <c r="C216" s="1" t="s">
        <v>22</v>
      </c>
      <c r="D216" s="1" t="s">
        <v>11</v>
      </c>
      <c r="E216" s="1" t="s">
        <v>15</v>
      </c>
      <c r="F216" s="1">
        <v>87</v>
      </c>
      <c r="G216" s="1">
        <v>91</v>
      </c>
      <c r="H216" s="1">
        <v>81</v>
      </c>
    </row>
    <row r="217" spans="1:8" x14ac:dyDescent="0.3">
      <c r="A217" s="1" t="s">
        <v>17</v>
      </c>
      <c r="B217" s="1" t="s">
        <v>9</v>
      </c>
      <c r="C217" s="1" t="s">
        <v>23</v>
      </c>
      <c r="D217" s="1" t="s">
        <v>11</v>
      </c>
      <c r="E217" s="1" t="s">
        <v>15</v>
      </c>
      <c r="F217" s="1">
        <v>84</v>
      </c>
      <c r="G217" s="1">
        <v>83</v>
      </c>
      <c r="H217" s="1">
        <v>75</v>
      </c>
    </row>
    <row r="218" spans="1:8" x14ac:dyDescent="0.3">
      <c r="A218" s="1" t="s">
        <v>8</v>
      </c>
      <c r="B218" s="1" t="s">
        <v>24</v>
      </c>
      <c r="C218" s="1" t="s">
        <v>19</v>
      </c>
      <c r="D218" s="1" t="s">
        <v>20</v>
      </c>
      <c r="E218" s="1" t="s">
        <v>15</v>
      </c>
      <c r="F218" s="1">
        <v>83</v>
      </c>
      <c r="G218" s="1">
        <v>86</v>
      </c>
      <c r="H218" s="1">
        <v>88</v>
      </c>
    </row>
    <row r="219" spans="1:8" x14ac:dyDescent="0.3">
      <c r="A219" s="1" t="s">
        <v>8</v>
      </c>
      <c r="B219" s="1" t="s">
        <v>13</v>
      </c>
      <c r="C219" s="1" t="s">
        <v>22</v>
      </c>
      <c r="D219" s="1" t="s">
        <v>20</v>
      </c>
      <c r="E219" s="1" t="s">
        <v>12</v>
      </c>
      <c r="F219" s="1">
        <v>34</v>
      </c>
      <c r="G219" s="1">
        <v>42</v>
      </c>
      <c r="H219" s="1">
        <v>39</v>
      </c>
    </row>
    <row r="220" spans="1:8" x14ac:dyDescent="0.3">
      <c r="A220" s="1" t="s">
        <v>17</v>
      </c>
      <c r="B220" s="1" t="s">
        <v>9</v>
      </c>
      <c r="C220" s="1" t="s">
        <v>22</v>
      </c>
      <c r="D220" s="1" t="s">
        <v>20</v>
      </c>
      <c r="E220" s="1" t="s">
        <v>12</v>
      </c>
      <c r="F220" s="1">
        <v>66</v>
      </c>
      <c r="G220" s="1">
        <v>77</v>
      </c>
      <c r="H220" s="1">
        <v>70</v>
      </c>
    </row>
    <row r="221" spans="1:8" x14ac:dyDescent="0.3">
      <c r="A221" s="1" t="s">
        <v>17</v>
      </c>
      <c r="B221" s="1" t="s">
        <v>9</v>
      </c>
      <c r="C221" s="1" t="s">
        <v>23</v>
      </c>
      <c r="D221" s="1" t="s">
        <v>11</v>
      </c>
      <c r="E221" s="1" t="s">
        <v>15</v>
      </c>
      <c r="F221" s="1">
        <v>61</v>
      </c>
      <c r="G221" s="1">
        <v>56</v>
      </c>
      <c r="H221" s="1">
        <v>56</v>
      </c>
    </row>
    <row r="222" spans="1:8" x14ac:dyDescent="0.3">
      <c r="A222" s="1" t="s">
        <v>8</v>
      </c>
      <c r="B222" s="1" t="s">
        <v>21</v>
      </c>
      <c r="C222" s="1" t="s">
        <v>22</v>
      </c>
      <c r="D222" s="1" t="s">
        <v>11</v>
      </c>
      <c r="E222" s="1" t="s">
        <v>15</v>
      </c>
      <c r="F222" s="1">
        <v>56</v>
      </c>
      <c r="G222" s="1">
        <v>68</v>
      </c>
      <c r="H222" s="1">
        <v>74</v>
      </c>
    </row>
    <row r="223" spans="1:8" x14ac:dyDescent="0.3">
      <c r="A223" s="1" t="s">
        <v>17</v>
      </c>
      <c r="B223" s="1" t="s">
        <v>9</v>
      </c>
      <c r="C223" s="1" t="s">
        <v>19</v>
      </c>
      <c r="D223" s="1" t="s">
        <v>11</v>
      </c>
      <c r="E223" s="1" t="s">
        <v>12</v>
      </c>
      <c r="F223" s="1">
        <v>87</v>
      </c>
      <c r="G223" s="1">
        <v>85</v>
      </c>
      <c r="H223" s="1">
        <v>73</v>
      </c>
    </row>
    <row r="224" spans="1:8" x14ac:dyDescent="0.3">
      <c r="A224" s="1" t="s">
        <v>8</v>
      </c>
      <c r="B224" s="1" t="s">
        <v>13</v>
      </c>
      <c r="C224" s="1" t="s">
        <v>23</v>
      </c>
      <c r="D224" s="1" t="s">
        <v>20</v>
      </c>
      <c r="E224" s="1" t="s">
        <v>12</v>
      </c>
      <c r="F224" s="1">
        <v>55</v>
      </c>
      <c r="G224" s="1">
        <v>65</v>
      </c>
      <c r="H224" s="1">
        <v>62</v>
      </c>
    </row>
    <row r="225" spans="1:8" x14ac:dyDescent="0.3">
      <c r="A225" s="1" t="s">
        <v>17</v>
      </c>
      <c r="B225" s="1" t="s">
        <v>21</v>
      </c>
      <c r="C225" s="1" t="s">
        <v>23</v>
      </c>
      <c r="D225" s="1" t="s">
        <v>11</v>
      </c>
      <c r="E225" s="1" t="s">
        <v>12</v>
      </c>
      <c r="F225" s="1">
        <v>86</v>
      </c>
      <c r="G225" s="1">
        <v>80</v>
      </c>
      <c r="H225" s="1">
        <v>75</v>
      </c>
    </row>
    <row r="226" spans="1:8" x14ac:dyDescent="0.3">
      <c r="A226" s="1" t="s">
        <v>8</v>
      </c>
      <c r="B226" s="1" t="s">
        <v>9</v>
      </c>
      <c r="C226" s="1" t="s">
        <v>19</v>
      </c>
      <c r="D226" s="1" t="s">
        <v>11</v>
      </c>
      <c r="E226" s="1" t="s">
        <v>15</v>
      </c>
      <c r="F226" s="1">
        <v>52</v>
      </c>
      <c r="G226" s="1">
        <v>66</v>
      </c>
      <c r="H226" s="1">
        <v>73</v>
      </c>
    </row>
    <row r="227" spans="1:8" x14ac:dyDescent="0.3">
      <c r="A227" s="1" t="s">
        <v>8</v>
      </c>
      <c r="B227" s="1" t="s">
        <v>24</v>
      </c>
      <c r="C227" s="1" t="s">
        <v>16</v>
      </c>
      <c r="D227" s="1" t="s">
        <v>20</v>
      </c>
      <c r="E227" s="1" t="s">
        <v>12</v>
      </c>
      <c r="F227" s="1">
        <v>45</v>
      </c>
      <c r="G227" s="1">
        <v>56</v>
      </c>
      <c r="H227" s="1">
        <v>54</v>
      </c>
    </row>
    <row r="228" spans="1:8" x14ac:dyDescent="0.3">
      <c r="A228" s="1" t="s">
        <v>8</v>
      </c>
      <c r="B228" s="1" t="s">
        <v>13</v>
      </c>
      <c r="C228" s="1" t="s">
        <v>14</v>
      </c>
      <c r="D228" s="1" t="s">
        <v>11</v>
      </c>
      <c r="E228" s="1" t="s">
        <v>12</v>
      </c>
      <c r="F228" s="1">
        <v>72</v>
      </c>
      <c r="G228" s="1">
        <v>72</v>
      </c>
      <c r="H228" s="1">
        <v>71</v>
      </c>
    </row>
    <row r="229" spans="1:8" x14ac:dyDescent="0.3">
      <c r="A229" s="1" t="s">
        <v>17</v>
      </c>
      <c r="B229" s="1" t="s">
        <v>21</v>
      </c>
      <c r="C229" s="1" t="s">
        <v>22</v>
      </c>
      <c r="D229" s="1" t="s">
        <v>11</v>
      </c>
      <c r="E229" s="1" t="s">
        <v>12</v>
      </c>
      <c r="F229" s="1">
        <v>57</v>
      </c>
      <c r="G229" s="1">
        <v>50</v>
      </c>
      <c r="H229" s="1">
        <v>54</v>
      </c>
    </row>
    <row r="230" spans="1:8" x14ac:dyDescent="0.3">
      <c r="A230" s="1" t="s">
        <v>17</v>
      </c>
      <c r="B230" s="1" t="s">
        <v>18</v>
      </c>
      <c r="C230" s="1" t="s">
        <v>23</v>
      </c>
      <c r="D230" s="1" t="s">
        <v>20</v>
      </c>
      <c r="E230" s="1" t="s">
        <v>12</v>
      </c>
      <c r="F230" s="1">
        <v>68</v>
      </c>
      <c r="G230" s="1">
        <v>72</v>
      </c>
      <c r="H230" s="1">
        <v>64</v>
      </c>
    </row>
    <row r="231" spans="1:8" x14ac:dyDescent="0.3">
      <c r="A231" s="1" t="s">
        <v>8</v>
      </c>
      <c r="B231" s="1" t="s">
        <v>13</v>
      </c>
      <c r="C231" s="1" t="s">
        <v>14</v>
      </c>
      <c r="D231" s="1" t="s">
        <v>11</v>
      </c>
      <c r="E231" s="1" t="s">
        <v>15</v>
      </c>
      <c r="F231" s="1">
        <v>88</v>
      </c>
      <c r="G231" s="1">
        <v>95</v>
      </c>
      <c r="H231" s="1">
        <v>94</v>
      </c>
    </row>
    <row r="232" spans="1:8" x14ac:dyDescent="0.3">
      <c r="A232" s="1" t="s">
        <v>17</v>
      </c>
      <c r="B232" s="1" t="s">
        <v>21</v>
      </c>
      <c r="C232" s="1" t="s">
        <v>14</v>
      </c>
      <c r="D232" s="1" t="s">
        <v>11</v>
      </c>
      <c r="E232" s="1" t="s">
        <v>12</v>
      </c>
      <c r="F232" s="1">
        <v>76</v>
      </c>
      <c r="G232" s="1">
        <v>64</v>
      </c>
      <c r="H232" s="1">
        <v>66</v>
      </c>
    </row>
    <row r="233" spans="1:8" x14ac:dyDescent="0.3">
      <c r="A233" s="1" t="s">
        <v>17</v>
      </c>
      <c r="B233" s="1" t="s">
        <v>13</v>
      </c>
      <c r="C233" s="1" t="s">
        <v>19</v>
      </c>
      <c r="D233" s="1" t="s">
        <v>11</v>
      </c>
      <c r="E233" s="1" t="s">
        <v>12</v>
      </c>
      <c r="F233" s="1">
        <v>46</v>
      </c>
      <c r="G233" s="1">
        <v>43</v>
      </c>
      <c r="H233" s="1">
        <v>42</v>
      </c>
    </row>
    <row r="234" spans="1:8" x14ac:dyDescent="0.3">
      <c r="A234" s="1" t="s">
        <v>8</v>
      </c>
      <c r="B234" s="1" t="s">
        <v>9</v>
      </c>
      <c r="C234" s="1" t="s">
        <v>10</v>
      </c>
      <c r="D234" s="1" t="s">
        <v>11</v>
      </c>
      <c r="E234" s="1" t="s">
        <v>12</v>
      </c>
      <c r="F234" s="1">
        <v>67</v>
      </c>
      <c r="G234" s="1">
        <v>86</v>
      </c>
      <c r="H234" s="1">
        <v>83</v>
      </c>
    </row>
    <row r="235" spans="1:8" x14ac:dyDescent="0.3">
      <c r="A235" s="1" t="s">
        <v>17</v>
      </c>
      <c r="B235" s="1" t="s">
        <v>24</v>
      </c>
      <c r="C235" s="1" t="s">
        <v>23</v>
      </c>
      <c r="D235" s="1" t="s">
        <v>11</v>
      </c>
      <c r="E235" s="1" t="s">
        <v>12</v>
      </c>
      <c r="F235" s="1">
        <v>92</v>
      </c>
      <c r="G235" s="1">
        <v>87</v>
      </c>
      <c r="H235" s="1">
        <v>78</v>
      </c>
    </row>
    <row r="236" spans="1:8" x14ac:dyDescent="0.3">
      <c r="A236" s="1" t="s">
        <v>17</v>
      </c>
      <c r="B236" s="1" t="s">
        <v>13</v>
      </c>
      <c r="C236" s="1" t="s">
        <v>10</v>
      </c>
      <c r="D236" s="1" t="s">
        <v>11</v>
      </c>
      <c r="E236" s="1" t="s">
        <v>15</v>
      </c>
      <c r="F236" s="1">
        <v>83</v>
      </c>
      <c r="G236" s="1">
        <v>82</v>
      </c>
      <c r="H236" s="1">
        <v>84</v>
      </c>
    </row>
    <row r="237" spans="1:8" x14ac:dyDescent="0.3">
      <c r="A237" s="1" t="s">
        <v>17</v>
      </c>
      <c r="B237" s="1" t="s">
        <v>21</v>
      </c>
      <c r="C237" s="1" t="s">
        <v>19</v>
      </c>
      <c r="D237" s="1" t="s">
        <v>11</v>
      </c>
      <c r="E237" s="1" t="s">
        <v>12</v>
      </c>
      <c r="F237" s="1">
        <v>80</v>
      </c>
      <c r="G237" s="1">
        <v>75</v>
      </c>
      <c r="H237" s="1">
        <v>77</v>
      </c>
    </row>
    <row r="238" spans="1:8" x14ac:dyDescent="0.3">
      <c r="A238" s="1" t="s">
        <v>17</v>
      </c>
      <c r="B238" s="1" t="s">
        <v>21</v>
      </c>
      <c r="C238" s="1" t="s">
        <v>10</v>
      </c>
      <c r="D238" s="1" t="s">
        <v>20</v>
      </c>
      <c r="E238" s="1" t="s">
        <v>12</v>
      </c>
      <c r="F238" s="1">
        <v>63</v>
      </c>
      <c r="G238" s="1">
        <v>66</v>
      </c>
      <c r="H238" s="1">
        <v>67</v>
      </c>
    </row>
    <row r="239" spans="1:8" x14ac:dyDescent="0.3">
      <c r="A239" s="1" t="s">
        <v>8</v>
      </c>
      <c r="B239" s="1" t="s">
        <v>21</v>
      </c>
      <c r="C239" s="1" t="s">
        <v>23</v>
      </c>
      <c r="D239" s="1" t="s">
        <v>11</v>
      </c>
      <c r="E239" s="1" t="s">
        <v>15</v>
      </c>
      <c r="F239" s="1">
        <v>64</v>
      </c>
      <c r="G239" s="1">
        <v>60</v>
      </c>
      <c r="H239" s="1">
        <v>74</v>
      </c>
    </row>
    <row r="240" spans="1:8" x14ac:dyDescent="0.3">
      <c r="A240" s="1" t="s">
        <v>17</v>
      </c>
      <c r="B240" s="1" t="s">
        <v>9</v>
      </c>
      <c r="C240" s="1" t="s">
        <v>14</v>
      </c>
      <c r="D240" s="1" t="s">
        <v>11</v>
      </c>
      <c r="E240" s="1" t="s">
        <v>12</v>
      </c>
      <c r="F240" s="1">
        <v>54</v>
      </c>
      <c r="G240" s="1">
        <v>52</v>
      </c>
      <c r="H240" s="1">
        <v>51</v>
      </c>
    </row>
    <row r="241" spans="1:8" x14ac:dyDescent="0.3">
      <c r="A241" s="1" t="s">
        <v>17</v>
      </c>
      <c r="B241" s="1" t="s">
        <v>13</v>
      </c>
      <c r="C241" s="1" t="s">
        <v>19</v>
      </c>
      <c r="D241" s="1" t="s">
        <v>11</v>
      </c>
      <c r="E241" s="1" t="s">
        <v>12</v>
      </c>
      <c r="F241" s="1">
        <v>84</v>
      </c>
      <c r="G241" s="1">
        <v>80</v>
      </c>
      <c r="H241" s="1">
        <v>80</v>
      </c>
    </row>
    <row r="242" spans="1:8" x14ac:dyDescent="0.3">
      <c r="A242" s="1" t="s">
        <v>17</v>
      </c>
      <c r="B242" s="1" t="s">
        <v>21</v>
      </c>
      <c r="C242" s="1" t="s">
        <v>22</v>
      </c>
      <c r="D242" s="1" t="s">
        <v>20</v>
      </c>
      <c r="E242" s="1" t="s">
        <v>15</v>
      </c>
      <c r="F242" s="1">
        <v>73</v>
      </c>
      <c r="G242" s="1">
        <v>68</v>
      </c>
      <c r="H242" s="1">
        <v>66</v>
      </c>
    </row>
    <row r="243" spans="1:8" x14ac:dyDescent="0.3">
      <c r="A243" s="1" t="s">
        <v>8</v>
      </c>
      <c r="B243" s="1" t="s">
        <v>24</v>
      </c>
      <c r="C243" s="1" t="s">
        <v>10</v>
      </c>
      <c r="D243" s="1" t="s">
        <v>11</v>
      </c>
      <c r="E243" s="1" t="s">
        <v>12</v>
      </c>
      <c r="F243" s="1">
        <v>80</v>
      </c>
      <c r="G243" s="1">
        <v>83</v>
      </c>
      <c r="H243" s="1">
        <v>83</v>
      </c>
    </row>
    <row r="244" spans="1:8" x14ac:dyDescent="0.3">
      <c r="A244" s="1" t="s">
        <v>8</v>
      </c>
      <c r="B244" s="1" t="s">
        <v>21</v>
      </c>
      <c r="C244" s="1" t="s">
        <v>22</v>
      </c>
      <c r="D244" s="1" t="s">
        <v>11</v>
      </c>
      <c r="E244" s="1" t="s">
        <v>12</v>
      </c>
      <c r="F244" s="1">
        <v>56</v>
      </c>
      <c r="G244" s="1">
        <v>52</v>
      </c>
      <c r="H244" s="1">
        <v>55</v>
      </c>
    </row>
    <row r="245" spans="1:8" x14ac:dyDescent="0.3">
      <c r="A245" s="1" t="s">
        <v>17</v>
      </c>
      <c r="B245" s="1" t="s">
        <v>24</v>
      </c>
      <c r="C245" s="1" t="s">
        <v>14</v>
      </c>
      <c r="D245" s="1" t="s">
        <v>11</v>
      </c>
      <c r="E245" s="1" t="s">
        <v>12</v>
      </c>
      <c r="F245" s="1">
        <v>59</v>
      </c>
      <c r="G245" s="1">
        <v>51</v>
      </c>
      <c r="H245" s="1">
        <v>43</v>
      </c>
    </row>
    <row r="246" spans="1:8" x14ac:dyDescent="0.3">
      <c r="A246" s="1" t="s">
        <v>17</v>
      </c>
      <c r="B246" s="1" t="s">
        <v>21</v>
      </c>
      <c r="C246" s="1" t="s">
        <v>23</v>
      </c>
      <c r="D246" s="1" t="s">
        <v>11</v>
      </c>
      <c r="E246" s="1" t="s">
        <v>12</v>
      </c>
      <c r="F246" s="1">
        <v>75</v>
      </c>
      <c r="G246" s="1">
        <v>74</v>
      </c>
      <c r="H246" s="1">
        <v>69</v>
      </c>
    </row>
    <row r="247" spans="1:8" x14ac:dyDescent="0.3">
      <c r="A247" s="1" t="s">
        <v>17</v>
      </c>
      <c r="B247" s="1" t="s">
        <v>13</v>
      </c>
      <c r="C247" s="1" t="s">
        <v>19</v>
      </c>
      <c r="D247" s="1" t="s">
        <v>11</v>
      </c>
      <c r="E247" s="1" t="s">
        <v>12</v>
      </c>
      <c r="F247" s="1">
        <v>85</v>
      </c>
      <c r="G247" s="1">
        <v>76</v>
      </c>
      <c r="H247" s="1">
        <v>71</v>
      </c>
    </row>
    <row r="248" spans="1:8" x14ac:dyDescent="0.3">
      <c r="A248" s="1" t="s">
        <v>17</v>
      </c>
      <c r="B248" s="1" t="s">
        <v>24</v>
      </c>
      <c r="C248" s="1" t="s">
        <v>19</v>
      </c>
      <c r="D248" s="1" t="s">
        <v>11</v>
      </c>
      <c r="E248" s="1" t="s">
        <v>12</v>
      </c>
      <c r="F248" s="1">
        <v>89</v>
      </c>
      <c r="G248" s="1">
        <v>76</v>
      </c>
      <c r="H248" s="1">
        <v>74</v>
      </c>
    </row>
    <row r="249" spans="1:8" x14ac:dyDescent="0.3">
      <c r="A249" s="1" t="s">
        <v>8</v>
      </c>
      <c r="B249" s="1" t="s">
        <v>9</v>
      </c>
      <c r="C249" s="1" t="s">
        <v>22</v>
      </c>
      <c r="D249" s="1" t="s">
        <v>11</v>
      </c>
      <c r="E249" s="1" t="s">
        <v>15</v>
      </c>
      <c r="F249" s="1">
        <v>58</v>
      </c>
      <c r="G249" s="1">
        <v>70</v>
      </c>
      <c r="H249" s="1">
        <v>68</v>
      </c>
    </row>
    <row r="250" spans="1:8" x14ac:dyDescent="0.3">
      <c r="A250" s="1" t="s">
        <v>8</v>
      </c>
      <c r="B250" s="1" t="s">
        <v>9</v>
      </c>
      <c r="C250" s="1" t="s">
        <v>22</v>
      </c>
      <c r="D250" s="1" t="s">
        <v>11</v>
      </c>
      <c r="E250" s="1" t="s">
        <v>12</v>
      </c>
      <c r="F250" s="1">
        <v>65</v>
      </c>
      <c r="G250" s="1">
        <v>64</v>
      </c>
      <c r="H250" s="1">
        <v>62</v>
      </c>
    </row>
    <row r="251" spans="1:8" x14ac:dyDescent="0.3">
      <c r="A251" s="1" t="s">
        <v>17</v>
      </c>
      <c r="B251" s="1" t="s">
        <v>13</v>
      </c>
      <c r="C251" s="1" t="s">
        <v>22</v>
      </c>
      <c r="D251" s="1" t="s">
        <v>11</v>
      </c>
      <c r="E251" s="1" t="s">
        <v>12</v>
      </c>
      <c r="F251" s="1">
        <v>68</v>
      </c>
      <c r="G251" s="1">
        <v>60</v>
      </c>
      <c r="H251" s="1">
        <v>53</v>
      </c>
    </row>
    <row r="252" spans="1:8" x14ac:dyDescent="0.3">
      <c r="A252" s="1" t="s">
        <v>17</v>
      </c>
      <c r="B252" s="1" t="s">
        <v>18</v>
      </c>
      <c r="C252" s="1" t="s">
        <v>23</v>
      </c>
      <c r="D252" s="1" t="s">
        <v>11</v>
      </c>
      <c r="E252" s="1" t="s">
        <v>15</v>
      </c>
      <c r="F252" s="1">
        <v>47</v>
      </c>
      <c r="G252" s="1">
        <v>49</v>
      </c>
      <c r="H252" s="1">
        <v>49</v>
      </c>
    </row>
    <row r="253" spans="1:8" x14ac:dyDescent="0.3">
      <c r="A253" s="1" t="s">
        <v>8</v>
      </c>
      <c r="B253" s="1" t="s">
        <v>21</v>
      </c>
      <c r="C253" s="1" t="s">
        <v>14</v>
      </c>
      <c r="D253" s="1" t="s">
        <v>20</v>
      </c>
      <c r="E253" s="1" t="s">
        <v>12</v>
      </c>
      <c r="F253" s="1">
        <v>71</v>
      </c>
      <c r="G253" s="1">
        <v>83</v>
      </c>
      <c r="H253" s="1">
        <v>83</v>
      </c>
    </row>
    <row r="254" spans="1:8" x14ac:dyDescent="0.3">
      <c r="A254" s="1" t="s">
        <v>8</v>
      </c>
      <c r="B254" s="1" t="s">
        <v>9</v>
      </c>
      <c r="C254" s="1" t="s">
        <v>23</v>
      </c>
      <c r="D254" s="1" t="s">
        <v>11</v>
      </c>
      <c r="E254" s="1" t="s">
        <v>15</v>
      </c>
      <c r="F254" s="1">
        <v>60</v>
      </c>
      <c r="G254" s="1">
        <v>70</v>
      </c>
      <c r="H254" s="1">
        <v>70</v>
      </c>
    </row>
    <row r="255" spans="1:8" x14ac:dyDescent="0.3">
      <c r="A255" s="1" t="s">
        <v>17</v>
      </c>
      <c r="B255" s="1" t="s">
        <v>21</v>
      </c>
      <c r="C255" s="1" t="s">
        <v>16</v>
      </c>
      <c r="D255" s="1" t="s">
        <v>11</v>
      </c>
      <c r="E255" s="1" t="s">
        <v>12</v>
      </c>
      <c r="F255" s="1">
        <v>80</v>
      </c>
      <c r="G255" s="1">
        <v>80</v>
      </c>
      <c r="H255" s="1">
        <v>72</v>
      </c>
    </row>
    <row r="256" spans="1:8" x14ac:dyDescent="0.3">
      <c r="A256" s="1" t="s">
        <v>17</v>
      </c>
      <c r="B256" s="1" t="s">
        <v>21</v>
      </c>
      <c r="C256" s="1" t="s">
        <v>22</v>
      </c>
      <c r="D256" s="1" t="s">
        <v>11</v>
      </c>
      <c r="E256" s="1" t="s">
        <v>12</v>
      </c>
      <c r="F256" s="1">
        <v>54</v>
      </c>
      <c r="G256" s="1">
        <v>52</v>
      </c>
      <c r="H256" s="1">
        <v>52</v>
      </c>
    </row>
    <row r="257" spans="1:8" x14ac:dyDescent="0.3">
      <c r="A257" s="1" t="s">
        <v>8</v>
      </c>
      <c r="B257" s="1" t="s">
        <v>24</v>
      </c>
      <c r="C257" s="1" t="s">
        <v>14</v>
      </c>
      <c r="D257" s="1" t="s">
        <v>11</v>
      </c>
      <c r="E257" s="1" t="s">
        <v>12</v>
      </c>
      <c r="F257" s="1">
        <v>62</v>
      </c>
      <c r="G257" s="1">
        <v>73</v>
      </c>
      <c r="H257" s="1">
        <v>70</v>
      </c>
    </row>
    <row r="258" spans="1:8" x14ac:dyDescent="0.3">
      <c r="A258" s="1" t="s">
        <v>8</v>
      </c>
      <c r="B258" s="1" t="s">
        <v>13</v>
      </c>
      <c r="C258" s="1" t="s">
        <v>19</v>
      </c>
      <c r="D258" s="1" t="s">
        <v>20</v>
      </c>
      <c r="E258" s="1" t="s">
        <v>12</v>
      </c>
      <c r="F258" s="1">
        <v>64</v>
      </c>
      <c r="G258" s="1">
        <v>73</v>
      </c>
      <c r="H258" s="1">
        <v>68</v>
      </c>
    </row>
    <row r="259" spans="1:8" x14ac:dyDescent="0.3">
      <c r="A259" s="1" t="s">
        <v>17</v>
      </c>
      <c r="B259" s="1" t="s">
        <v>13</v>
      </c>
      <c r="C259" s="1" t="s">
        <v>19</v>
      </c>
      <c r="D259" s="1" t="s">
        <v>11</v>
      </c>
      <c r="E259" s="1" t="s">
        <v>15</v>
      </c>
      <c r="F259" s="1">
        <v>78</v>
      </c>
      <c r="G259" s="1">
        <v>77</v>
      </c>
      <c r="H259" s="1">
        <v>77</v>
      </c>
    </row>
    <row r="260" spans="1:8" x14ac:dyDescent="0.3">
      <c r="A260" s="1" t="s">
        <v>8</v>
      </c>
      <c r="B260" s="1" t="s">
        <v>9</v>
      </c>
      <c r="C260" s="1" t="s">
        <v>14</v>
      </c>
      <c r="D260" s="1" t="s">
        <v>11</v>
      </c>
      <c r="E260" s="1" t="s">
        <v>12</v>
      </c>
      <c r="F260" s="1">
        <v>70</v>
      </c>
      <c r="G260" s="1">
        <v>75</v>
      </c>
      <c r="H260" s="1">
        <v>78</v>
      </c>
    </row>
    <row r="261" spans="1:8" x14ac:dyDescent="0.3">
      <c r="A261" s="1" t="s">
        <v>8</v>
      </c>
      <c r="B261" s="1" t="s">
        <v>13</v>
      </c>
      <c r="C261" s="1" t="s">
        <v>16</v>
      </c>
      <c r="D261" s="1" t="s">
        <v>20</v>
      </c>
      <c r="E261" s="1" t="s">
        <v>15</v>
      </c>
      <c r="F261" s="1">
        <v>65</v>
      </c>
      <c r="G261" s="1">
        <v>81</v>
      </c>
      <c r="H261" s="1">
        <v>81</v>
      </c>
    </row>
    <row r="262" spans="1:8" x14ac:dyDescent="0.3">
      <c r="A262" s="1" t="s">
        <v>8</v>
      </c>
      <c r="B262" s="1" t="s">
        <v>13</v>
      </c>
      <c r="C262" s="1" t="s">
        <v>23</v>
      </c>
      <c r="D262" s="1" t="s">
        <v>20</v>
      </c>
      <c r="E262" s="1" t="s">
        <v>15</v>
      </c>
      <c r="F262" s="1">
        <v>64</v>
      </c>
      <c r="G262" s="1">
        <v>79</v>
      </c>
      <c r="H262" s="1">
        <v>77</v>
      </c>
    </row>
    <row r="263" spans="1:8" x14ac:dyDescent="0.3">
      <c r="A263" s="1" t="s">
        <v>17</v>
      </c>
      <c r="B263" s="1" t="s">
        <v>13</v>
      </c>
      <c r="C263" s="1" t="s">
        <v>14</v>
      </c>
      <c r="D263" s="1" t="s">
        <v>11</v>
      </c>
      <c r="E263" s="1" t="s">
        <v>15</v>
      </c>
      <c r="F263" s="1">
        <v>79</v>
      </c>
      <c r="G263" s="1">
        <v>79</v>
      </c>
      <c r="H263" s="1">
        <v>78</v>
      </c>
    </row>
    <row r="264" spans="1:8" x14ac:dyDescent="0.3">
      <c r="A264" s="1" t="s">
        <v>8</v>
      </c>
      <c r="B264" s="1" t="s">
        <v>13</v>
      </c>
      <c r="C264" s="1" t="s">
        <v>23</v>
      </c>
      <c r="D264" s="1" t="s">
        <v>20</v>
      </c>
      <c r="E264" s="1" t="s">
        <v>12</v>
      </c>
      <c r="F264" s="1">
        <v>44</v>
      </c>
      <c r="G264" s="1">
        <v>50</v>
      </c>
      <c r="H264" s="1">
        <v>51</v>
      </c>
    </row>
    <row r="265" spans="1:8" x14ac:dyDescent="0.3">
      <c r="A265" s="1" t="s">
        <v>8</v>
      </c>
      <c r="B265" s="1" t="s">
        <v>24</v>
      </c>
      <c r="C265" s="1" t="s">
        <v>22</v>
      </c>
      <c r="D265" s="1" t="s">
        <v>11</v>
      </c>
      <c r="E265" s="1" t="s">
        <v>12</v>
      </c>
      <c r="F265" s="1">
        <v>99</v>
      </c>
      <c r="G265" s="1">
        <v>93</v>
      </c>
      <c r="H265" s="1">
        <v>90</v>
      </c>
    </row>
    <row r="266" spans="1:8" x14ac:dyDescent="0.3">
      <c r="A266" s="1" t="s">
        <v>17</v>
      </c>
      <c r="B266" s="1" t="s">
        <v>21</v>
      </c>
      <c r="C266" s="1" t="s">
        <v>22</v>
      </c>
      <c r="D266" s="1" t="s">
        <v>11</v>
      </c>
      <c r="E266" s="1" t="s">
        <v>12</v>
      </c>
      <c r="F266" s="1">
        <v>76</v>
      </c>
      <c r="G266" s="1">
        <v>73</v>
      </c>
      <c r="H266" s="1">
        <v>68</v>
      </c>
    </row>
    <row r="267" spans="1:8" x14ac:dyDescent="0.3">
      <c r="A267" s="1" t="s">
        <v>17</v>
      </c>
      <c r="B267" s="1" t="s">
        <v>21</v>
      </c>
      <c r="C267" s="1" t="s">
        <v>23</v>
      </c>
      <c r="D267" s="1" t="s">
        <v>20</v>
      </c>
      <c r="E267" s="1" t="s">
        <v>12</v>
      </c>
      <c r="F267" s="1">
        <v>59</v>
      </c>
      <c r="G267" s="1">
        <v>42</v>
      </c>
      <c r="H267" s="1">
        <v>41</v>
      </c>
    </row>
    <row r="268" spans="1:8" x14ac:dyDescent="0.3">
      <c r="A268" s="1" t="s">
        <v>8</v>
      </c>
      <c r="B268" s="1" t="s">
        <v>13</v>
      </c>
      <c r="C268" s="1" t="s">
        <v>10</v>
      </c>
      <c r="D268" s="1" t="s">
        <v>11</v>
      </c>
      <c r="E268" s="1" t="s">
        <v>12</v>
      </c>
      <c r="F268" s="1">
        <v>63</v>
      </c>
      <c r="G268" s="1">
        <v>75</v>
      </c>
      <c r="H268" s="1">
        <v>81</v>
      </c>
    </row>
    <row r="269" spans="1:8" x14ac:dyDescent="0.3">
      <c r="A269" s="1" t="s">
        <v>8</v>
      </c>
      <c r="B269" s="1" t="s">
        <v>21</v>
      </c>
      <c r="C269" s="1" t="s">
        <v>22</v>
      </c>
      <c r="D269" s="1" t="s">
        <v>11</v>
      </c>
      <c r="E269" s="1" t="s">
        <v>12</v>
      </c>
      <c r="F269" s="1">
        <v>69</v>
      </c>
      <c r="G269" s="1">
        <v>72</v>
      </c>
      <c r="H269" s="1">
        <v>77</v>
      </c>
    </row>
    <row r="270" spans="1:8" x14ac:dyDescent="0.3">
      <c r="A270" s="1" t="s">
        <v>8</v>
      </c>
      <c r="B270" s="1" t="s">
        <v>21</v>
      </c>
      <c r="C270" s="1" t="s">
        <v>19</v>
      </c>
      <c r="D270" s="1" t="s">
        <v>11</v>
      </c>
      <c r="E270" s="1" t="s">
        <v>15</v>
      </c>
      <c r="F270" s="1">
        <v>88</v>
      </c>
      <c r="G270" s="1">
        <v>92</v>
      </c>
      <c r="H270" s="1">
        <v>95</v>
      </c>
    </row>
    <row r="271" spans="1:8" x14ac:dyDescent="0.3">
      <c r="A271" s="1" t="s">
        <v>8</v>
      </c>
      <c r="B271" s="1" t="s">
        <v>24</v>
      </c>
      <c r="C271" s="1" t="s">
        <v>14</v>
      </c>
      <c r="D271" s="1" t="s">
        <v>20</v>
      </c>
      <c r="E271" s="1" t="s">
        <v>12</v>
      </c>
      <c r="F271" s="1">
        <v>71</v>
      </c>
      <c r="G271" s="1">
        <v>76</v>
      </c>
      <c r="H271" s="1">
        <v>70</v>
      </c>
    </row>
    <row r="272" spans="1:8" x14ac:dyDescent="0.3">
      <c r="A272" s="1" t="s">
        <v>17</v>
      </c>
      <c r="B272" s="1" t="s">
        <v>13</v>
      </c>
      <c r="C272" s="1" t="s">
        <v>10</v>
      </c>
      <c r="D272" s="1" t="s">
        <v>11</v>
      </c>
      <c r="E272" s="1" t="s">
        <v>12</v>
      </c>
      <c r="F272" s="1">
        <v>69</v>
      </c>
      <c r="G272" s="1">
        <v>63</v>
      </c>
      <c r="H272" s="1">
        <v>61</v>
      </c>
    </row>
    <row r="273" spans="1:8" x14ac:dyDescent="0.3">
      <c r="A273" s="1" t="s">
        <v>17</v>
      </c>
      <c r="B273" s="1" t="s">
        <v>13</v>
      </c>
      <c r="C273" s="1" t="s">
        <v>14</v>
      </c>
      <c r="D273" s="1" t="s">
        <v>11</v>
      </c>
      <c r="E273" s="1" t="s">
        <v>12</v>
      </c>
      <c r="F273" s="1">
        <v>58</v>
      </c>
      <c r="G273" s="1">
        <v>49</v>
      </c>
      <c r="H273" s="1">
        <v>42</v>
      </c>
    </row>
    <row r="274" spans="1:8" x14ac:dyDescent="0.3">
      <c r="A274" s="1" t="s">
        <v>8</v>
      </c>
      <c r="B274" s="1" t="s">
        <v>21</v>
      </c>
      <c r="C274" s="1" t="s">
        <v>19</v>
      </c>
      <c r="D274" s="1" t="s">
        <v>20</v>
      </c>
      <c r="E274" s="1" t="s">
        <v>12</v>
      </c>
      <c r="F274" s="1">
        <v>47</v>
      </c>
      <c r="G274" s="1">
        <v>53</v>
      </c>
      <c r="H274" s="1">
        <v>58</v>
      </c>
    </row>
    <row r="275" spans="1:8" x14ac:dyDescent="0.3">
      <c r="A275" s="1" t="s">
        <v>8</v>
      </c>
      <c r="B275" s="1" t="s">
        <v>21</v>
      </c>
      <c r="C275" s="1" t="s">
        <v>14</v>
      </c>
      <c r="D275" s="1" t="s">
        <v>11</v>
      </c>
      <c r="E275" s="1" t="s">
        <v>12</v>
      </c>
      <c r="F275" s="1">
        <v>65</v>
      </c>
      <c r="G275" s="1">
        <v>70</v>
      </c>
      <c r="H275" s="1">
        <v>71</v>
      </c>
    </row>
    <row r="276" spans="1:8" x14ac:dyDescent="0.3">
      <c r="A276" s="1" t="s">
        <v>17</v>
      </c>
      <c r="B276" s="1" t="s">
        <v>9</v>
      </c>
      <c r="C276" s="1" t="s">
        <v>14</v>
      </c>
      <c r="D276" s="1" t="s">
        <v>11</v>
      </c>
      <c r="E276" s="1" t="s">
        <v>15</v>
      </c>
      <c r="F276" s="1">
        <v>88</v>
      </c>
      <c r="G276" s="1">
        <v>85</v>
      </c>
      <c r="H276" s="1">
        <v>76</v>
      </c>
    </row>
    <row r="277" spans="1:8" x14ac:dyDescent="0.3">
      <c r="A277" s="1" t="s">
        <v>17</v>
      </c>
      <c r="B277" s="1" t="s">
        <v>13</v>
      </c>
      <c r="C277" s="1" t="s">
        <v>10</v>
      </c>
      <c r="D277" s="1" t="s">
        <v>11</v>
      </c>
      <c r="E277" s="1" t="s">
        <v>12</v>
      </c>
      <c r="F277" s="1">
        <v>83</v>
      </c>
      <c r="G277" s="1">
        <v>78</v>
      </c>
      <c r="H277" s="1">
        <v>73</v>
      </c>
    </row>
    <row r="278" spans="1:8" x14ac:dyDescent="0.3">
      <c r="A278" s="1" t="s">
        <v>8</v>
      </c>
      <c r="B278" s="1" t="s">
        <v>13</v>
      </c>
      <c r="C278" s="1" t="s">
        <v>23</v>
      </c>
      <c r="D278" s="1" t="s">
        <v>11</v>
      </c>
      <c r="E278" s="1" t="s">
        <v>15</v>
      </c>
      <c r="F278" s="1">
        <v>85</v>
      </c>
      <c r="G278" s="1">
        <v>92</v>
      </c>
      <c r="H278" s="1">
        <v>93</v>
      </c>
    </row>
    <row r="279" spans="1:8" x14ac:dyDescent="0.3">
      <c r="A279" s="1" t="s">
        <v>8</v>
      </c>
      <c r="B279" s="1" t="s">
        <v>24</v>
      </c>
      <c r="C279" s="1" t="s">
        <v>22</v>
      </c>
      <c r="D279" s="1" t="s">
        <v>11</v>
      </c>
      <c r="E279" s="1" t="s">
        <v>15</v>
      </c>
      <c r="F279" s="1">
        <v>59</v>
      </c>
      <c r="G279" s="1">
        <v>63</v>
      </c>
      <c r="H279" s="1">
        <v>75</v>
      </c>
    </row>
    <row r="280" spans="1:8" x14ac:dyDescent="0.3">
      <c r="A280" s="1" t="s">
        <v>8</v>
      </c>
      <c r="B280" s="1" t="s">
        <v>13</v>
      </c>
      <c r="C280" s="1" t="s">
        <v>23</v>
      </c>
      <c r="D280" s="1" t="s">
        <v>20</v>
      </c>
      <c r="E280" s="1" t="s">
        <v>12</v>
      </c>
      <c r="F280" s="1">
        <v>65</v>
      </c>
      <c r="G280" s="1">
        <v>86</v>
      </c>
      <c r="H280" s="1">
        <v>80</v>
      </c>
    </row>
    <row r="281" spans="1:8" x14ac:dyDescent="0.3">
      <c r="A281" s="1" t="s">
        <v>17</v>
      </c>
      <c r="B281" s="1" t="s">
        <v>9</v>
      </c>
      <c r="C281" s="1" t="s">
        <v>10</v>
      </c>
      <c r="D281" s="1" t="s">
        <v>20</v>
      </c>
      <c r="E281" s="1" t="s">
        <v>12</v>
      </c>
      <c r="F281" s="1">
        <v>73</v>
      </c>
      <c r="G281" s="1">
        <v>56</v>
      </c>
      <c r="H281" s="1">
        <v>57</v>
      </c>
    </row>
    <row r="282" spans="1:8" x14ac:dyDescent="0.3">
      <c r="A282" s="1" t="s">
        <v>17</v>
      </c>
      <c r="B282" s="1" t="s">
        <v>21</v>
      </c>
      <c r="C282" s="1" t="s">
        <v>22</v>
      </c>
      <c r="D282" s="1" t="s">
        <v>11</v>
      </c>
      <c r="E282" s="1" t="s">
        <v>12</v>
      </c>
      <c r="F282" s="1">
        <v>53</v>
      </c>
      <c r="G282" s="1">
        <v>52</v>
      </c>
      <c r="H282" s="1">
        <v>42</v>
      </c>
    </row>
    <row r="283" spans="1:8" x14ac:dyDescent="0.3">
      <c r="A283" s="1" t="s">
        <v>17</v>
      </c>
      <c r="B283" s="1" t="s">
        <v>21</v>
      </c>
      <c r="C283" s="1" t="s">
        <v>22</v>
      </c>
      <c r="D283" s="1" t="s">
        <v>11</v>
      </c>
      <c r="E283" s="1" t="s">
        <v>12</v>
      </c>
      <c r="F283" s="1">
        <v>45</v>
      </c>
      <c r="G283" s="1">
        <v>48</v>
      </c>
      <c r="H283" s="1">
        <v>46</v>
      </c>
    </row>
    <row r="284" spans="1:8" x14ac:dyDescent="0.3">
      <c r="A284" s="1" t="s">
        <v>8</v>
      </c>
      <c r="B284" s="1" t="s">
        <v>21</v>
      </c>
      <c r="C284" s="1" t="s">
        <v>10</v>
      </c>
      <c r="D284" s="1" t="s">
        <v>20</v>
      </c>
      <c r="E284" s="1" t="s">
        <v>12</v>
      </c>
      <c r="F284" s="1">
        <v>73</v>
      </c>
      <c r="G284" s="1">
        <v>79</v>
      </c>
      <c r="H284" s="1">
        <v>84</v>
      </c>
    </row>
    <row r="285" spans="1:8" x14ac:dyDescent="0.3">
      <c r="A285" s="1" t="s">
        <v>8</v>
      </c>
      <c r="B285" s="1" t="s">
        <v>21</v>
      </c>
      <c r="C285" s="1" t="s">
        <v>14</v>
      </c>
      <c r="D285" s="1" t="s">
        <v>20</v>
      </c>
      <c r="E285" s="1" t="s">
        <v>15</v>
      </c>
      <c r="F285" s="1">
        <v>70</v>
      </c>
      <c r="G285" s="1">
        <v>78</v>
      </c>
      <c r="H285" s="1">
        <v>78</v>
      </c>
    </row>
    <row r="286" spans="1:8" x14ac:dyDescent="0.3">
      <c r="A286" s="1" t="s">
        <v>8</v>
      </c>
      <c r="B286" s="1" t="s">
        <v>9</v>
      </c>
      <c r="C286" s="1" t="s">
        <v>23</v>
      </c>
      <c r="D286" s="1" t="s">
        <v>11</v>
      </c>
      <c r="E286" s="1" t="s">
        <v>12</v>
      </c>
      <c r="F286" s="1">
        <v>37</v>
      </c>
      <c r="G286" s="1">
        <v>46</v>
      </c>
      <c r="H286" s="1">
        <v>46</v>
      </c>
    </row>
    <row r="287" spans="1:8" x14ac:dyDescent="0.3">
      <c r="A287" s="1" t="s">
        <v>17</v>
      </c>
      <c r="B287" s="1" t="s">
        <v>9</v>
      </c>
      <c r="C287" s="1" t="s">
        <v>19</v>
      </c>
      <c r="D287" s="1" t="s">
        <v>11</v>
      </c>
      <c r="E287" s="1" t="s">
        <v>15</v>
      </c>
      <c r="F287" s="1">
        <v>81</v>
      </c>
      <c r="G287" s="1">
        <v>82</v>
      </c>
      <c r="H287" s="1">
        <v>82</v>
      </c>
    </row>
    <row r="288" spans="1:8" x14ac:dyDescent="0.3">
      <c r="A288" s="1" t="s">
        <v>17</v>
      </c>
      <c r="B288" s="1" t="s">
        <v>24</v>
      </c>
      <c r="C288" s="1" t="s">
        <v>19</v>
      </c>
      <c r="D288" s="1" t="s">
        <v>11</v>
      </c>
      <c r="E288" s="1" t="s">
        <v>15</v>
      </c>
      <c r="F288" s="1">
        <v>97</v>
      </c>
      <c r="G288" s="1">
        <v>82</v>
      </c>
      <c r="H288" s="1">
        <v>88</v>
      </c>
    </row>
    <row r="289" spans="1:8" x14ac:dyDescent="0.3">
      <c r="A289" s="1" t="s">
        <v>8</v>
      </c>
      <c r="B289" s="1" t="s">
        <v>9</v>
      </c>
      <c r="C289" s="1" t="s">
        <v>23</v>
      </c>
      <c r="D289" s="1" t="s">
        <v>11</v>
      </c>
      <c r="E289" s="1" t="s">
        <v>12</v>
      </c>
      <c r="F289" s="1">
        <v>67</v>
      </c>
      <c r="G289" s="1">
        <v>89</v>
      </c>
      <c r="H289" s="1">
        <v>82</v>
      </c>
    </row>
    <row r="290" spans="1:8" x14ac:dyDescent="0.3">
      <c r="A290" s="1" t="s">
        <v>17</v>
      </c>
      <c r="B290" s="1" t="s">
        <v>9</v>
      </c>
      <c r="C290" s="1" t="s">
        <v>10</v>
      </c>
      <c r="D290" s="1" t="s">
        <v>20</v>
      </c>
      <c r="E290" s="1" t="s">
        <v>12</v>
      </c>
      <c r="F290" s="1">
        <v>88</v>
      </c>
      <c r="G290" s="1">
        <v>75</v>
      </c>
      <c r="H290" s="1">
        <v>76</v>
      </c>
    </row>
    <row r="291" spans="1:8" x14ac:dyDescent="0.3">
      <c r="A291" s="1" t="s">
        <v>17</v>
      </c>
      <c r="B291" s="1" t="s">
        <v>24</v>
      </c>
      <c r="C291" s="1" t="s">
        <v>23</v>
      </c>
      <c r="D291" s="1" t="s">
        <v>11</v>
      </c>
      <c r="E291" s="1" t="s">
        <v>15</v>
      </c>
      <c r="F291" s="1">
        <v>77</v>
      </c>
      <c r="G291" s="1">
        <v>76</v>
      </c>
      <c r="H291" s="1">
        <v>77</v>
      </c>
    </row>
    <row r="292" spans="1:8" x14ac:dyDescent="0.3">
      <c r="A292" s="1" t="s">
        <v>17</v>
      </c>
      <c r="B292" s="1" t="s">
        <v>13</v>
      </c>
      <c r="C292" s="1" t="s">
        <v>19</v>
      </c>
      <c r="D292" s="1" t="s">
        <v>11</v>
      </c>
      <c r="E292" s="1" t="s">
        <v>12</v>
      </c>
      <c r="F292" s="1">
        <v>76</v>
      </c>
      <c r="G292" s="1">
        <v>70</v>
      </c>
      <c r="H292" s="1">
        <v>68</v>
      </c>
    </row>
    <row r="293" spans="1:8" x14ac:dyDescent="0.3">
      <c r="A293" s="1" t="s">
        <v>17</v>
      </c>
      <c r="B293" s="1" t="s">
        <v>21</v>
      </c>
      <c r="C293" s="1" t="s">
        <v>23</v>
      </c>
      <c r="D293" s="1" t="s">
        <v>11</v>
      </c>
      <c r="E293" s="1" t="s">
        <v>12</v>
      </c>
      <c r="F293" s="1">
        <v>86</v>
      </c>
      <c r="G293" s="1">
        <v>73</v>
      </c>
      <c r="H293" s="1">
        <v>70</v>
      </c>
    </row>
    <row r="294" spans="1:8" x14ac:dyDescent="0.3">
      <c r="A294" s="1" t="s">
        <v>17</v>
      </c>
      <c r="B294" s="1" t="s">
        <v>13</v>
      </c>
      <c r="C294" s="1" t="s">
        <v>23</v>
      </c>
      <c r="D294" s="1" t="s">
        <v>11</v>
      </c>
      <c r="E294" s="1" t="s">
        <v>15</v>
      </c>
      <c r="F294" s="1">
        <v>63</v>
      </c>
      <c r="G294" s="1">
        <v>60</v>
      </c>
      <c r="H294" s="1">
        <v>57</v>
      </c>
    </row>
    <row r="295" spans="1:8" x14ac:dyDescent="0.3">
      <c r="A295" s="1" t="s">
        <v>8</v>
      </c>
      <c r="B295" s="1" t="s">
        <v>24</v>
      </c>
      <c r="C295" s="1" t="s">
        <v>10</v>
      </c>
      <c r="D295" s="1" t="s">
        <v>11</v>
      </c>
      <c r="E295" s="1" t="s">
        <v>12</v>
      </c>
      <c r="F295" s="1">
        <v>65</v>
      </c>
      <c r="G295" s="1">
        <v>73</v>
      </c>
      <c r="H295" s="1">
        <v>75</v>
      </c>
    </row>
    <row r="296" spans="1:8" x14ac:dyDescent="0.3">
      <c r="A296" s="1" t="s">
        <v>17</v>
      </c>
      <c r="B296" s="1" t="s">
        <v>21</v>
      </c>
      <c r="C296" s="1" t="s">
        <v>22</v>
      </c>
      <c r="D296" s="1" t="s">
        <v>20</v>
      </c>
      <c r="E296" s="1" t="s">
        <v>15</v>
      </c>
      <c r="F296" s="1">
        <v>78</v>
      </c>
      <c r="G296" s="1">
        <v>77</v>
      </c>
      <c r="H296" s="1">
        <v>80</v>
      </c>
    </row>
    <row r="297" spans="1:8" x14ac:dyDescent="0.3">
      <c r="A297" s="1" t="s">
        <v>17</v>
      </c>
      <c r="B297" s="1" t="s">
        <v>9</v>
      </c>
      <c r="C297" s="1" t="s">
        <v>19</v>
      </c>
      <c r="D297" s="1" t="s">
        <v>20</v>
      </c>
      <c r="E297" s="1" t="s">
        <v>12</v>
      </c>
      <c r="F297" s="1">
        <v>67</v>
      </c>
      <c r="G297" s="1">
        <v>62</v>
      </c>
      <c r="H297" s="1">
        <v>60</v>
      </c>
    </row>
    <row r="298" spans="1:8" x14ac:dyDescent="0.3">
      <c r="A298" s="1" t="s">
        <v>17</v>
      </c>
      <c r="B298" s="1" t="s">
        <v>18</v>
      </c>
      <c r="C298" s="1" t="s">
        <v>23</v>
      </c>
      <c r="D298" s="1" t="s">
        <v>11</v>
      </c>
      <c r="E298" s="1" t="s">
        <v>15</v>
      </c>
      <c r="F298" s="1">
        <v>46</v>
      </c>
      <c r="G298" s="1">
        <v>41</v>
      </c>
      <c r="H298" s="1">
        <v>43</v>
      </c>
    </row>
    <row r="299" spans="1:8" x14ac:dyDescent="0.3">
      <c r="A299" s="1" t="s">
        <v>17</v>
      </c>
      <c r="B299" s="1" t="s">
        <v>24</v>
      </c>
      <c r="C299" s="1" t="s">
        <v>19</v>
      </c>
      <c r="D299" s="1" t="s">
        <v>11</v>
      </c>
      <c r="E299" s="1" t="s">
        <v>15</v>
      </c>
      <c r="F299" s="1">
        <v>71</v>
      </c>
      <c r="G299" s="1">
        <v>74</v>
      </c>
      <c r="H299" s="1">
        <v>68</v>
      </c>
    </row>
    <row r="300" spans="1:8" x14ac:dyDescent="0.3">
      <c r="A300" s="1" t="s">
        <v>17</v>
      </c>
      <c r="B300" s="1" t="s">
        <v>13</v>
      </c>
      <c r="C300" s="1" t="s">
        <v>22</v>
      </c>
      <c r="D300" s="1" t="s">
        <v>20</v>
      </c>
      <c r="E300" s="1" t="s">
        <v>15</v>
      </c>
      <c r="F300" s="1">
        <v>40</v>
      </c>
      <c r="G300" s="1">
        <v>46</v>
      </c>
      <c r="H300" s="1">
        <v>50</v>
      </c>
    </row>
    <row r="301" spans="1:8" x14ac:dyDescent="0.3">
      <c r="A301" s="1" t="s">
        <v>17</v>
      </c>
      <c r="B301" s="1" t="s">
        <v>21</v>
      </c>
      <c r="C301" s="1" t="s">
        <v>19</v>
      </c>
      <c r="D301" s="1" t="s">
        <v>20</v>
      </c>
      <c r="E301" s="1" t="s">
        <v>12</v>
      </c>
      <c r="F301" s="1">
        <v>90</v>
      </c>
      <c r="G301" s="1">
        <v>87</v>
      </c>
      <c r="H301" s="1">
        <v>75</v>
      </c>
    </row>
    <row r="302" spans="1:8" x14ac:dyDescent="0.3">
      <c r="A302" s="1" t="s">
        <v>17</v>
      </c>
      <c r="B302" s="1" t="s">
        <v>18</v>
      </c>
      <c r="C302" s="1" t="s">
        <v>14</v>
      </c>
      <c r="D302" s="1" t="s">
        <v>20</v>
      </c>
      <c r="E302" s="1" t="s">
        <v>15</v>
      </c>
      <c r="F302" s="1">
        <v>81</v>
      </c>
      <c r="G302" s="1">
        <v>78</v>
      </c>
      <c r="H302" s="1">
        <v>81</v>
      </c>
    </row>
    <row r="303" spans="1:8" x14ac:dyDescent="0.3">
      <c r="A303" s="1" t="s">
        <v>17</v>
      </c>
      <c r="B303" s="1" t="s">
        <v>21</v>
      </c>
      <c r="C303" s="1" t="s">
        <v>23</v>
      </c>
      <c r="D303" s="1" t="s">
        <v>20</v>
      </c>
      <c r="E303" s="1" t="s">
        <v>12</v>
      </c>
      <c r="F303" s="1">
        <v>56</v>
      </c>
      <c r="G303" s="1">
        <v>54</v>
      </c>
      <c r="H303" s="1">
        <v>52</v>
      </c>
    </row>
    <row r="304" spans="1:8" x14ac:dyDescent="0.3">
      <c r="A304" s="1" t="s">
        <v>8</v>
      </c>
      <c r="B304" s="1" t="s">
        <v>13</v>
      </c>
      <c r="C304" s="1" t="s">
        <v>19</v>
      </c>
      <c r="D304" s="1" t="s">
        <v>11</v>
      </c>
      <c r="E304" s="1" t="s">
        <v>15</v>
      </c>
      <c r="F304" s="1">
        <v>67</v>
      </c>
      <c r="G304" s="1">
        <v>84</v>
      </c>
      <c r="H304" s="1">
        <v>81</v>
      </c>
    </row>
    <row r="305" spans="1:8" x14ac:dyDescent="0.3">
      <c r="A305" s="1" t="s">
        <v>17</v>
      </c>
      <c r="B305" s="1" t="s">
        <v>9</v>
      </c>
      <c r="C305" s="1" t="s">
        <v>19</v>
      </c>
      <c r="D305" s="1" t="s">
        <v>11</v>
      </c>
      <c r="E305" s="1" t="s">
        <v>12</v>
      </c>
      <c r="F305" s="1">
        <v>80</v>
      </c>
      <c r="G305" s="1">
        <v>76</v>
      </c>
      <c r="H305" s="1">
        <v>64</v>
      </c>
    </row>
    <row r="306" spans="1:8" x14ac:dyDescent="0.3">
      <c r="A306" s="1" t="s">
        <v>8</v>
      </c>
      <c r="B306" s="1" t="s">
        <v>13</v>
      </c>
      <c r="C306" s="1" t="s">
        <v>19</v>
      </c>
      <c r="D306" s="1" t="s">
        <v>11</v>
      </c>
      <c r="E306" s="1" t="s">
        <v>15</v>
      </c>
      <c r="F306" s="1">
        <v>74</v>
      </c>
      <c r="G306" s="1">
        <v>75</v>
      </c>
      <c r="H306" s="1">
        <v>83</v>
      </c>
    </row>
    <row r="307" spans="1:8" x14ac:dyDescent="0.3">
      <c r="A307" s="1" t="s">
        <v>17</v>
      </c>
      <c r="B307" s="1" t="s">
        <v>18</v>
      </c>
      <c r="C307" s="1" t="s">
        <v>14</v>
      </c>
      <c r="D307" s="1" t="s">
        <v>11</v>
      </c>
      <c r="E307" s="1" t="s">
        <v>12</v>
      </c>
      <c r="F307" s="1">
        <v>69</v>
      </c>
      <c r="G307" s="1">
        <v>67</v>
      </c>
      <c r="H307" s="1">
        <v>69</v>
      </c>
    </row>
    <row r="308" spans="1:8" x14ac:dyDescent="0.3">
      <c r="A308" s="1" t="s">
        <v>17</v>
      </c>
      <c r="B308" s="1" t="s">
        <v>24</v>
      </c>
      <c r="C308" s="1" t="s">
        <v>14</v>
      </c>
      <c r="D308" s="1" t="s">
        <v>11</v>
      </c>
      <c r="E308" s="1" t="s">
        <v>15</v>
      </c>
      <c r="F308" s="1">
        <v>99</v>
      </c>
      <c r="G308" s="1">
        <v>87</v>
      </c>
      <c r="H308" s="1">
        <v>81</v>
      </c>
    </row>
    <row r="309" spans="1:8" x14ac:dyDescent="0.3">
      <c r="A309" s="1" t="s">
        <v>17</v>
      </c>
      <c r="B309" s="1" t="s">
        <v>13</v>
      </c>
      <c r="C309" s="1" t="s">
        <v>23</v>
      </c>
      <c r="D309" s="1" t="s">
        <v>11</v>
      </c>
      <c r="E309" s="1" t="s">
        <v>12</v>
      </c>
      <c r="F309" s="1">
        <v>51</v>
      </c>
      <c r="G309" s="1">
        <v>52</v>
      </c>
      <c r="H309" s="1">
        <v>44</v>
      </c>
    </row>
    <row r="310" spans="1:8" x14ac:dyDescent="0.3">
      <c r="A310" s="1" t="s">
        <v>8</v>
      </c>
      <c r="B310" s="1" t="s">
        <v>9</v>
      </c>
      <c r="C310" s="1" t="s">
        <v>19</v>
      </c>
      <c r="D310" s="1" t="s">
        <v>20</v>
      </c>
      <c r="E310" s="1" t="s">
        <v>12</v>
      </c>
      <c r="F310" s="1">
        <v>53</v>
      </c>
      <c r="G310" s="1">
        <v>71</v>
      </c>
      <c r="H310" s="1">
        <v>67</v>
      </c>
    </row>
    <row r="311" spans="1:8" x14ac:dyDescent="0.3">
      <c r="A311" s="1" t="s">
        <v>8</v>
      </c>
      <c r="B311" s="1" t="s">
        <v>21</v>
      </c>
      <c r="C311" s="1" t="s">
        <v>22</v>
      </c>
      <c r="D311" s="1" t="s">
        <v>20</v>
      </c>
      <c r="E311" s="1" t="s">
        <v>12</v>
      </c>
      <c r="F311" s="1">
        <v>49</v>
      </c>
      <c r="G311" s="1">
        <v>57</v>
      </c>
      <c r="H311" s="1">
        <v>52</v>
      </c>
    </row>
    <row r="312" spans="1:8" x14ac:dyDescent="0.3">
      <c r="A312" s="1" t="s">
        <v>8</v>
      </c>
      <c r="B312" s="1" t="s">
        <v>9</v>
      </c>
      <c r="C312" s="1" t="s">
        <v>19</v>
      </c>
      <c r="D312" s="1" t="s">
        <v>11</v>
      </c>
      <c r="E312" s="1" t="s">
        <v>12</v>
      </c>
      <c r="F312" s="1">
        <v>73</v>
      </c>
      <c r="G312" s="1">
        <v>76</v>
      </c>
      <c r="H312" s="1">
        <v>80</v>
      </c>
    </row>
    <row r="313" spans="1:8" x14ac:dyDescent="0.3">
      <c r="A313" s="1" t="s">
        <v>17</v>
      </c>
      <c r="B313" s="1" t="s">
        <v>9</v>
      </c>
      <c r="C313" s="1" t="s">
        <v>10</v>
      </c>
      <c r="D313" s="1" t="s">
        <v>11</v>
      </c>
      <c r="E313" s="1" t="s">
        <v>12</v>
      </c>
      <c r="F313" s="1">
        <v>66</v>
      </c>
      <c r="G313" s="1">
        <v>60</v>
      </c>
      <c r="H313" s="1">
        <v>57</v>
      </c>
    </row>
    <row r="314" spans="1:8" x14ac:dyDescent="0.3">
      <c r="A314" s="1" t="s">
        <v>17</v>
      </c>
      <c r="B314" s="1" t="s">
        <v>21</v>
      </c>
      <c r="C314" s="1" t="s">
        <v>10</v>
      </c>
      <c r="D314" s="1" t="s">
        <v>11</v>
      </c>
      <c r="E314" s="1" t="s">
        <v>15</v>
      </c>
      <c r="F314" s="1">
        <v>67</v>
      </c>
      <c r="G314" s="1">
        <v>61</v>
      </c>
      <c r="H314" s="1">
        <v>68</v>
      </c>
    </row>
    <row r="315" spans="1:8" x14ac:dyDescent="0.3">
      <c r="A315" s="1" t="s">
        <v>8</v>
      </c>
      <c r="B315" s="1" t="s">
        <v>13</v>
      </c>
      <c r="C315" s="1" t="s">
        <v>19</v>
      </c>
      <c r="D315" s="1" t="s">
        <v>20</v>
      </c>
      <c r="E315" s="1" t="s">
        <v>15</v>
      </c>
      <c r="F315" s="1">
        <v>68</v>
      </c>
      <c r="G315" s="1">
        <v>67</v>
      </c>
      <c r="H315" s="1">
        <v>69</v>
      </c>
    </row>
    <row r="316" spans="1:8" x14ac:dyDescent="0.3">
      <c r="A316" s="1" t="s">
        <v>8</v>
      </c>
      <c r="B316" s="1" t="s">
        <v>13</v>
      </c>
      <c r="C316" s="1" t="s">
        <v>10</v>
      </c>
      <c r="D316" s="1" t="s">
        <v>11</v>
      </c>
      <c r="E316" s="1" t="s">
        <v>15</v>
      </c>
      <c r="F316" s="1">
        <v>59</v>
      </c>
      <c r="G316" s="1">
        <v>64</v>
      </c>
      <c r="H316" s="1">
        <v>75</v>
      </c>
    </row>
    <row r="317" spans="1:8" x14ac:dyDescent="0.3">
      <c r="A317" s="1" t="s">
        <v>17</v>
      </c>
      <c r="B317" s="1" t="s">
        <v>13</v>
      </c>
      <c r="C317" s="1" t="s">
        <v>22</v>
      </c>
      <c r="D317" s="1" t="s">
        <v>11</v>
      </c>
      <c r="E317" s="1" t="s">
        <v>12</v>
      </c>
      <c r="F317" s="1">
        <v>71</v>
      </c>
      <c r="G317" s="1">
        <v>66</v>
      </c>
      <c r="H317" s="1">
        <v>65</v>
      </c>
    </row>
    <row r="318" spans="1:8" x14ac:dyDescent="0.3">
      <c r="A318" s="1" t="s">
        <v>8</v>
      </c>
      <c r="B318" s="1" t="s">
        <v>21</v>
      </c>
      <c r="C318" s="1" t="s">
        <v>16</v>
      </c>
      <c r="D318" s="1" t="s">
        <v>11</v>
      </c>
      <c r="E318" s="1" t="s">
        <v>15</v>
      </c>
      <c r="F318" s="1">
        <v>77</v>
      </c>
      <c r="G318" s="1">
        <v>82</v>
      </c>
      <c r="H318" s="1">
        <v>91</v>
      </c>
    </row>
    <row r="319" spans="1:8" x14ac:dyDescent="0.3">
      <c r="A319" s="1" t="s">
        <v>17</v>
      </c>
      <c r="B319" s="1" t="s">
        <v>13</v>
      </c>
      <c r="C319" s="1" t="s">
        <v>19</v>
      </c>
      <c r="D319" s="1" t="s">
        <v>11</v>
      </c>
      <c r="E319" s="1" t="s">
        <v>12</v>
      </c>
      <c r="F319" s="1">
        <v>83</v>
      </c>
      <c r="G319" s="1">
        <v>72</v>
      </c>
      <c r="H319" s="1">
        <v>78</v>
      </c>
    </row>
    <row r="320" spans="1:8" x14ac:dyDescent="0.3">
      <c r="A320" s="1" t="s">
        <v>17</v>
      </c>
      <c r="B320" s="1" t="s">
        <v>9</v>
      </c>
      <c r="C320" s="1" t="s">
        <v>10</v>
      </c>
      <c r="D320" s="1" t="s">
        <v>11</v>
      </c>
      <c r="E320" s="1" t="s">
        <v>12</v>
      </c>
      <c r="F320" s="1">
        <v>63</v>
      </c>
      <c r="G320" s="1">
        <v>71</v>
      </c>
      <c r="H320" s="1">
        <v>69</v>
      </c>
    </row>
    <row r="321" spans="1:8" x14ac:dyDescent="0.3">
      <c r="A321" s="1" t="s">
        <v>8</v>
      </c>
      <c r="B321" s="1" t="s">
        <v>21</v>
      </c>
      <c r="C321" s="1" t="s">
        <v>19</v>
      </c>
      <c r="D321" s="1" t="s">
        <v>20</v>
      </c>
      <c r="E321" s="1" t="s">
        <v>12</v>
      </c>
      <c r="F321" s="1">
        <v>56</v>
      </c>
      <c r="G321" s="1">
        <v>65</v>
      </c>
      <c r="H321" s="1">
        <v>63</v>
      </c>
    </row>
    <row r="322" spans="1:8" x14ac:dyDescent="0.3">
      <c r="A322" s="1" t="s">
        <v>8</v>
      </c>
      <c r="B322" s="1" t="s">
        <v>13</v>
      </c>
      <c r="C322" s="1" t="s">
        <v>22</v>
      </c>
      <c r="D322" s="1" t="s">
        <v>20</v>
      </c>
      <c r="E322" s="1" t="s">
        <v>15</v>
      </c>
      <c r="F322" s="1">
        <v>67</v>
      </c>
      <c r="G322" s="1">
        <v>79</v>
      </c>
      <c r="H322" s="1">
        <v>84</v>
      </c>
    </row>
    <row r="323" spans="1:8" x14ac:dyDescent="0.3">
      <c r="A323" s="1" t="s">
        <v>8</v>
      </c>
      <c r="B323" s="1" t="s">
        <v>24</v>
      </c>
      <c r="C323" s="1" t="s">
        <v>22</v>
      </c>
      <c r="D323" s="1" t="s">
        <v>11</v>
      </c>
      <c r="E323" s="1" t="s">
        <v>12</v>
      </c>
      <c r="F323" s="1">
        <v>75</v>
      </c>
      <c r="G323" s="1">
        <v>86</v>
      </c>
      <c r="H323" s="1">
        <v>79</v>
      </c>
    </row>
    <row r="324" spans="1:8" x14ac:dyDescent="0.3">
      <c r="A324" s="1" t="s">
        <v>8</v>
      </c>
      <c r="B324" s="1" t="s">
        <v>13</v>
      </c>
      <c r="C324" s="1" t="s">
        <v>14</v>
      </c>
      <c r="D324" s="1" t="s">
        <v>11</v>
      </c>
      <c r="E324" s="1" t="s">
        <v>12</v>
      </c>
      <c r="F324" s="1">
        <v>71</v>
      </c>
      <c r="G324" s="1">
        <v>81</v>
      </c>
      <c r="H324" s="1">
        <v>80</v>
      </c>
    </row>
    <row r="325" spans="1:8" x14ac:dyDescent="0.3">
      <c r="A325" s="1" t="s">
        <v>8</v>
      </c>
      <c r="B325" s="1" t="s">
        <v>13</v>
      </c>
      <c r="C325" s="1" t="s">
        <v>23</v>
      </c>
      <c r="D325" s="1" t="s">
        <v>20</v>
      </c>
      <c r="E325" s="1" t="s">
        <v>12</v>
      </c>
      <c r="F325" s="1">
        <v>43</v>
      </c>
      <c r="G325" s="1">
        <v>53</v>
      </c>
      <c r="H325" s="1">
        <v>53</v>
      </c>
    </row>
    <row r="326" spans="1:8" x14ac:dyDescent="0.3">
      <c r="A326" s="1" t="s">
        <v>8</v>
      </c>
      <c r="B326" s="1" t="s">
        <v>13</v>
      </c>
      <c r="C326" s="1" t="s">
        <v>22</v>
      </c>
      <c r="D326" s="1" t="s">
        <v>20</v>
      </c>
      <c r="E326" s="1" t="s">
        <v>12</v>
      </c>
      <c r="F326" s="1">
        <v>41</v>
      </c>
      <c r="G326" s="1">
        <v>46</v>
      </c>
      <c r="H326" s="1">
        <v>43</v>
      </c>
    </row>
    <row r="327" spans="1:8" x14ac:dyDescent="0.3">
      <c r="A327" s="1" t="s">
        <v>8</v>
      </c>
      <c r="B327" s="1" t="s">
        <v>13</v>
      </c>
      <c r="C327" s="1" t="s">
        <v>14</v>
      </c>
      <c r="D327" s="1" t="s">
        <v>11</v>
      </c>
      <c r="E327" s="1" t="s">
        <v>12</v>
      </c>
      <c r="F327" s="1">
        <v>82</v>
      </c>
      <c r="G327" s="1">
        <v>90</v>
      </c>
      <c r="H327" s="1">
        <v>94</v>
      </c>
    </row>
    <row r="328" spans="1:8" x14ac:dyDescent="0.3">
      <c r="A328" s="1" t="s">
        <v>17</v>
      </c>
      <c r="B328" s="1" t="s">
        <v>13</v>
      </c>
      <c r="C328" s="1" t="s">
        <v>14</v>
      </c>
      <c r="D328" s="1" t="s">
        <v>11</v>
      </c>
      <c r="E328" s="1" t="s">
        <v>12</v>
      </c>
      <c r="F328" s="1">
        <v>61</v>
      </c>
      <c r="G328" s="1">
        <v>61</v>
      </c>
      <c r="H328" s="1">
        <v>62</v>
      </c>
    </row>
    <row r="329" spans="1:8" x14ac:dyDescent="0.3">
      <c r="A329" s="1" t="s">
        <v>17</v>
      </c>
      <c r="B329" s="1" t="s">
        <v>18</v>
      </c>
      <c r="C329" s="1" t="s">
        <v>14</v>
      </c>
      <c r="D329" s="1" t="s">
        <v>20</v>
      </c>
      <c r="E329" s="1" t="s">
        <v>12</v>
      </c>
      <c r="F329" s="1">
        <v>28</v>
      </c>
      <c r="G329" s="1">
        <v>23</v>
      </c>
      <c r="H329" s="1">
        <v>19</v>
      </c>
    </row>
    <row r="330" spans="1:8" x14ac:dyDescent="0.3">
      <c r="A330" s="1" t="s">
        <v>17</v>
      </c>
      <c r="B330" s="1" t="s">
        <v>13</v>
      </c>
      <c r="C330" s="1" t="s">
        <v>19</v>
      </c>
      <c r="D330" s="1" t="s">
        <v>11</v>
      </c>
      <c r="E330" s="1" t="s">
        <v>15</v>
      </c>
      <c r="F330" s="1">
        <v>82</v>
      </c>
      <c r="G330" s="1">
        <v>75</v>
      </c>
      <c r="H330" s="1">
        <v>77</v>
      </c>
    </row>
    <row r="331" spans="1:8" x14ac:dyDescent="0.3">
      <c r="A331" s="1" t="s">
        <v>8</v>
      </c>
      <c r="B331" s="1" t="s">
        <v>9</v>
      </c>
      <c r="C331" s="1" t="s">
        <v>23</v>
      </c>
      <c r="D331" s="1" t="s">
        <v>11</v>
      </c>
      <c r="E331" s="1" t="s">
        <v>12</v>
      </c>
      <c r="F331" s="1">
        <v>41</v>
      </c>
      <c r="G331" s="1">
        <v>55</v>
      </c>
      <c r="H331" s="1">
        <v>51</v>
      </c>
    </row>
    <row r="332" spans="1:8" x14ac:dyDescent="0.3">
      <c r="A332" s="1" t="s">
        <v>17</v>
      </c>
      <c r="B332" s="1" t="s">
        <v>13</v>
      </c>
      <c r="C332" s="1" t="s">
        <v>22</v>
      </c>
      <c r="D332" s="1" t="s">
        <v>11</v>
      </c>
      <c r="E332" s="1" t="s">
        <v>12</v>
      </c>
      <c r="F332" s="1">
        <v>71</v>
      </c>
      <c r="G332" s="1">
        <v>60</v>
      </c>
      <c r="H332" s="1">
        <v>61</v>
      </c>
    </row>
    <row r="333" spans="1:8" x14ac:dyDescent="0.3">
      <c r="A333" s="1" t="s">
        <v>17</v>
      </c>
      <c r="B333" s="1" t="s">
        <v>13</v>
      </c>
      <c r="C333" s="1" t="s">
        <v>19</v>
      </c>
      <c r="D333" s="1" t="s">
        <v>11</v>
      </c>
      <c r="E333" s="1" t="s">
        <v>12</v>
      </c>
      <c r="F333" s="1">
        <v>47</v>
      </c>
      <c r="G333" s="1">
        <v>37</v>
      </c>
      <c r="H333" s="1">
        <v>35</v>
      </c>
    </row>
    <row r="334" spans="1:8" x14ac:dyDescent="0.3">
      <c r="A334" s="1" t="s">
        <v>17</v>
      </c>
      <c r="B334" s="1" t="s">
        <v>24</v>
      </c>
      <c r="C334" s="1" t="s">
        <v>19</v>
      </c>
      <c r="D334" s="1" t="s">
        <v>11</v>
      </c>
      <c r="E334" s="1" t="s">
        <v>15</v>
      </c>
      <c r="F334" s="1">
        <v>62</v>
      </c>
      <c r="G334" s="1">
        <v>56</v>
      </c>
      <c r="H334" s="1">
        <v>53</v>
      </c>
    </row>
    <row r="335" spans="1:8" x14ac:dyDescent="0.3">
      <c r="A335" s="1" t="s">
        <v>17</v>
      </c>
      <c r="B335" s="1" t="s">
        <v>9</v>
      </c>
      <c r="C335" s="1" t="s">
        <v>19</v>
      </c>
      <c r="D335" s="1" t="s">
        <v>11</v>
      </c>
      <c r="E335" s="1" t="s">
        <v>12</v>
      </c>
      <c r="F335" s="1">
        <v>90</v>
      </c>
      <c r="G335" s="1">
        <v>78</v>
      </c>
      <c r="H335" s="1">
        <v>81</v>
      </c>
    </row>
    <row r="336" spans="1:8" x14ac:dyDescent="0.3">
      <c r="A336" s="1" t="s">
        <v>8</v>
      </c>
      <c r="B336" s="1" t="s">
        <v>13</v>
      </c>
      <c r="C336" s="1" t="s">
        <v>10</v>
      </c>
      <c r="D336" s="1" t="s">
        <v>11</v>
      </c>
      <c r="E336" s="1" t="s">
        <v>12</v>
      </c>
      <c r="F336" s="1">
        <v>83</v>
      </c>
      <c r="G336" s="1">
        <v>93</v>
      </c>
      <c r="H336" s="1">
        <v>95</v>
      </c>
    </row>
    <row r="337" spans="1:8" x14ac:dyDescent="0.3">
      <c r="A337" s="1" t="s">
        <v>8</v>
      </c>
      <c r="B337" s="1" t="s">
        <v>9</v>
      </c>
      <c r="C337" s="1" t="s">
        <v>14</v>
      </c>
      <c r="D337" s="1" t="s">
        <v>20</v>
      </c>
      <c r="E337" s="1" t="s">
        <v>12</v>
      </c>
      <c r="F337" s="1">
        <v>61</v>
      </c>
      <c r="G337" s="1">
        <v>68</v>
      </c>
      <c r="H337" s="1">
        <v>66</v>
      </c>
    </row>
    <row r="338" spans="1:8" x14ac:dyDescent="0.3">
      <c r="A338" s="1" t="s">
        <v>17</v>
      </c>
      <c r="B338" s="1" t="s">
        <v>21</v>
      </c>
      <c r="C338" s="1" t="s">
        <v>23</v>
      </c>
      <c r="D338" s="1" t="s">
        <v>11</v>
      </c>
      <c r="E338" s="1" t="s">
        <v>15</v>
      </c>
      <c r="F338" s="1">
        <v>76</v>
      </c>
      <c r="G338" s="1">
        <v>70</v>
      </c>
      <c r="H338" s="1">
        <v>69</v>
      </c>
    </row>
    <row r="339" spans="1:8" x14ac:dyDescent="0.3">
      <c r="A339" s="1" t="s">
        <v>17</v>
      </c>
      <c r="B339" s="1" t="s">
        <v>13</v>
      </c>
      <c r="C339" s="1" t="s">
        <v>19</v>
      </c>
      <c r="D339" s="1" t="s">
        <v>11</v>
      </c>
      <c r="E339" s="1" t="s">
        <v>12</v>
      </c>
      <c r="F339" s="1">
        <v>49</v>
      </c>
      <c r="G339" s="1">
        <v>51</v>
      </c>
      <c r="H339" s="1">
        <v>43</v>
      </c>
    </row>
    <row r="340" spans="1:8" x14ac:dyDescent="0.3">
      <c r="A340" s="1" t="s">
        <v>8</v>
      </c>
      <c r="B340" s="1" t="s">
        <v>9</v>
      </c>
      <c r="C340" s="1" t="s">
        <v>23</v>
      </c>
      <c r="D340" s="1" t="s">
        <v>20</v>
      </c>
      <c r="E340" s="1" t="s">
        <v>12</v>
      </c>
      <c r="F340" s="1">
        <v>24</v>
      </c>
      <c r="G340" s="1">
        <v>38</v>
      </c>
      <c r="H340" s="1">
        <v>27</v>
      </c>
    </row>
    <row r="341" spans="1:8" x14ac:dyDescent="0.3">
      <c r="A341" s="1" t="s">
        <v>8</v>
      </c>
      <c r="B341" s="1" t="s">
        <v>21</v>
      </c>
      <c r="C341" s="1" t="s">
        <v>23</v>
      </c>
      <c r="D341" s="1" t="s">
        <v>20</v>
      </c>
      <c r="E341" s="1" t="s">
        <v>15</v>
      </c>
      <c r="F341" s="1">
        <v>35</v>
      </c>
      <c r="G341" s="1">
        <v>55</v>
      </c>
      <c r="H341" s="1">
        <v>60</v>
      </c>
    </row>
    <row r="342" spans="1:8" x14ac:dyDescent="0.3">
      <c r="A342" s="1" t="s">
        <v>17</v>
      </c>
      <c r="B342" s="1" t="s">
        <v>13</v>
      </c>
      <c r="C342" s="1" t="s">
        <v>22</v>
      </c>
      <c r="D342" s="1" t="s">
        <v>20</v>
      </c>
      <c r="E342" s="1" t="s">
        <v>12</v>
      </c>
      <c r="F342" s="1">
        <v>58</v>
      </c>
      <c r="G342" s="1">
        <v>61</v>
      </c>
      <c r="H342" s="1">
        <v>52</v>
      </c>
    </row>
    <row r="343" spans="1:8" x14ac:dyDescent="0.3">
      <c r="A343" s="1" t="s">
        <v>8</v>
      </c>
      <c r="B343" s="1" t="s">
        <v>13</v>
      </c>
      <c r="C343" s="1" t="s">
        <v>22</v>
      </c>
      <c r="D343" s="1" t="s">
        <v>11</v>
      </c>
      <c r="E343" s="1" t="s">
        <v>12</v>
      </c>
      <c r="F343" s="1">
        <v>61</v>
      </c>
      <c r="G343" s="1">
        <v>73</v>
      </c>
      <c r="H343" s="1">
        <v>63</v>
      </c>
    </row>
    <row r="344" spans="1:8" x14ac:dyDescent="0.3">
      <c r="A344" s="1" t="s">
        <v>8</v>
      </c>
      <c r="B344" s="1" t="s">
        <v>9</v>
      </c>
      <c r="C344" s="1" t="s">
        <v>22</v>
      </c>
      <c r="D344" s="1" t="s">
        <v>11</v>
      </c>
      <c r="E344" s="1" t="s">
        <v>15</v>
      </c>
      <c r="F344" s="1">
        <v>69</v>
      </c>
      <c r="G344" s="1">
        <v>76</v>
      </c>
      <c r="H344" s="1">
        <v>74</v>
      </c>
    </row>
    <row r="345" spans="1:8" x14ac:dyDescent="0.3">
      <c r="A345" s="1" t="s">
        <v>17</v>
      </c>
      <c r="B345" s="1" t="s">
        <v>21</v>
      </c>
      <c r="C345" s="1" t="s">
        <v>19</v>
      </c>
      <c r="D345" s="1" t="s">
        <v>11</v>
      </c>
      <c r="E345" s="1" t="s">
        <v>15</v>
      </c>
      <c r="F345" s="1">
        <v>67</v>
      </c>
      <c r="G345" s="1">
        <v>72</v>
      </c>
      <c r="H345" s="1">
        <v>67</v>
      </c>
    </row>
    <row r="346" spans="1:8" x14ac:dyDescent="0.3">
      <c r="A346" s="1" t="s">
        <v>17</v>
      </c>
      <c r="B346" s="1" t="s">
        <v>21</v>
      </c>
      <c r="C346" s="1" t="s">
        <v>14</v>
      </c>
      <c r="D346" s="1" t="s">
        <v>11</v>
      </c>
      <c r="E346" s="1" t="s">
        <v>12</v>
      </c>
      <c r="F346" s="1">
        <v>79</v>
      </c>
      <c r="G346" s="1">
        <v>73</v>
      </c>
      <c r="H346" s="1">
        <v>67</v>
      </c>
    </row>
    <row r="347" spans="1:8" x14ac:dyDescent="0.3">
      <c r="A347" s="1" t="s">
        <v>8</v>
      </c>
      <c r="B347" s="1" t="s">
        <v>13</v>
      </c>
      <c r="C347" s="1" t="s">
        <v>22</v>
      </c>
      <c r="D347" s="1" t="s">
        <v>11</v>
      </c>
      <c r="E347" s="1" t="s">
        <v>12</v>
      </c>
      <c r="F347" s="1">
        <v>72</v>
      </c>
      <c r="G347" s="1">
        <v>80</v>
      </c>
      <c r="H347" s="1">
        <v>75</v>
      </c>
    </row>
    <row r="348" spans="1:8" x14ac:dyDescent="0.3">
      <c r="A348" s="1" t="s">
        <v>17</v>
      </c>
      <c r="B348" s="1" t="s">
        <v>9</v>
      </c>
      <c r="C348" s="1" t="s">
        <v>14</v>
      </c>
      <c r="D348" s="1" t="s">
        <v>11</v>
      </c>
      <c r="E348" s="1" t="s">
        <v>12</v>
      </c>
      <c r="F348" s="1">
        <v>62</v>
      </c>
      <c r="G348" s="1">
        <v>61</v>
      </c>
      <c r="H348" s="1">
        <v>57</v>
      </c>
    </row>
    <row r="349" spans="1:8" x14ac:dyDescent="0.3">
      <c r="A349" s="1" t="s">
        <v>8</v>
      </c>
      <c r="B349" s="1" t="s">
        <v>13</v>
      </c>
      <c r="C349" s="1" t="s">
        <v>10</v>
      </c>
      <c r="D349" s="1" t="s">
        <v>11</v>
      </c>
      <c r="E349" s="1" t="s">
        <v>15</v>
      </c>
      <c r="F349" s="1">
        <v>77</v>
      </c>
      <c r="G349" s="1">
        <v>94</v>
      </c>
      <c r="H349" s="1">
        <v>95</v>
      </c>
    </row>
    <row r="350" spans="1:8" x14ac:dyDescent="0.3">
      <c r="A350" s="1" t="s">
        <v>17</v>
      </c>
      <c r="B350" s="1" t="s">
        <v>21</v>
      </c>
      <c r="C350" s="1" t="s">
        <v>22</v>
      </c>
      <c r="D350" s="1" t="s">
        <v>20</v>
      </c>
      <c r="E350" s="1" t="s">
        <v>12</v>
      </c>
      <c r="F350" s="1">
        <v>75</v>
      </c>
      <c r="G350" s="1">
        <v>74</v>
      </c>
      <c r="H350" s="1">
        <v>66</v>
      </c>
    </row>
    <row r="351" spans="1:8" x14ac:dyDescent="0.3">
      <c r="A351" s="1" t="s">
        <v>17</v>
      </c>
      <c r="B351" s="1" t="s">
        <v>24</v>
      </c>
      <c r="C351" s="1" t="s">
        <v>19</v>
      </c>
      <c r="D351" s="1" t="s">
        <v>11</v>
      </c>
      <c r="E351" s="1" t="s">
        <v>12</v>
      </c>
      <c r="F351" s="1">
        <v>87</v>
      </c>
      <c r="G351" s="1">
        <v>74</v>
      </c>
      <c r="H351" s="1">
        <v>76</v>
      </c>
    </row>
    <row r="352" spans="1:8" x14ac:dyDescent="0.3">
      <c r="A352" s="1" t="s">
        <v>8</v>
      </c>
      <c r="B352" s="1" t="s">
        <v>9</v>
      </c>
      <c r="C352" s="1" t="s">
        <v>10</v>
      </c>
      <c r="D352" s="1" t="s">
        <v>11</v>
      </c>
      <c r="E352" s="1" t="s">
        <v>12</v>
      </c>
      <c r="F352" s="1">
        <v>52</v>
      </c>
      <c r="G352" s="1">
        <v>65</v>
      </c>
      <c r="H352" s="1">
        <v>69</v>
      </c>
    </row>
    <row r="353" spans="1:8" x14ac:dyDescent="0.3">
      <c r="A353" s="1" t="s">
        <v>17</v>
      </c>
      <c r="B353" s="1" t="s">
        <v>24</v>
      </c>
      <c r="C353" s="1" t="s">
        <v>14</v>
      </c>
      <c r="D353" s="1" t="s">
        <v>11</v>
      </c>
      <c r="E353" s="1" t="s">
        <v>12</v>
      </c>
      <c r="F353" s="1">
        <v>66</v>
      </c>
      <c r="G353" s="1">
        <v>57</v>
      </c>
      <c r="H353" s="1">
        <v>52</v>
      </c>
    </row>
    <row r="354" spans="1:8" x14ac:dyDescent="0.3">
      <c r="A354" s="1" t="s">
        <v>8</v>
      </c>
      <c r="B354" s="1" t="s">
        <v>13</v>
      </c>
      <c r="C354" s="1" t="s">
        <v>14</v>
      </c>
      <c r="D354" s="1" t="s">
        <v>11</v>
      </c>
      <c r="E354" s="1" t="s">
        <v>15</v>
      </c>
      <c r="F354" s="1">
        <v>63</v>
      </c>
      <c r="G354" s="1">
        <v>78</v>
      </c>
      <c r="H354" s="1">
        <v>80</v>
      </c>
    </row>
    <row r="355" spans="1:8" x14ac:dyDescent="0.3">
      <c r="A355" s="1" t="s">
        <v>8</v>
      </c>
      <c r="B355" s="1" t="s">
        <v>13</v>
      </c>
      <c r="C355" s="1" t="s">
        <v>19</v>
      </c>
      <c r="D355" s="1" t="s">
        <v>11</v>
      </c>
      <c r="E355" s="1" t="s">
        <v>12</v>
      </c>
      <c r="F355" s="1">
        <v>46</v>
      </c>
      <c r="G355" s="1">
        <v>58</v>
      </c>
      <c r="H355" s="1">
        <v>57</v>
      </c>
    </row>
    <row r="356" spans="1:8" x14ac:dyDescent="0.3">
      <c r="A356" s="1" t="s">
        <v>8</v>
      </c>
      <c r="B356" s="1" t="s">
        <v>13</v>
      </c>
      <c r="C356" s="1" t="s">
        <v>14</v>
      </c>
      <c r="D356" s="1" t="s">
        <v>11</v>
      </c>
      <c r="E356" s="1" t="s">
        <v>12</v>
      </c>
      <c r="F356" s="1">
        <v>59</v>
      </c>
      <c r="G356" s="1">
        <v>71</v>
      </c>
      <c r="H356" s="1">
        <v>70</v>
      </c>
    </row>
    <row r="357" spans="1:8" x14ac:dyDescent="0.3">
      <c r="A357" s="1" t="s">
        <v>8</v>
      </c>
      <c r="B357" s="1" t="s">
        <v>9</v>
      </c>
      <c r="C357" s="1" t="s">
        <v>10</v>
      </c>
      <c r="D357" s="1" t="s">
        <v>11</v>
      </c>
      <c r="E357" s="1" t="s">
        <v>12</v>
      </c>
      <c r="F357" s="1">
        <v>61</v>
      </c>
      <c r="G357" s="1">
        <v>72</v>
      </c>
      <c r="H357" s="1">
        <v>70</v>
      </c>
    </row>
    <row r="358" spans="1:8" x14ac:dyDescent="0.3">
      <c r="A358" s="1" t="s">
        <v>17</v>
      </c>
      <c r="B358" s="1" t="s">
        <v>18</v>
      </c>
      <c r="C358" s="1" t="s">
        <v>19</v>
      </c>
      <c r="D358" s="1" t="s">
        <v>11</v>
      </c>
      <c r="E358" s="1" t="s">
        <v>12</v>
      </c>
      <c r="F358" s="1">
        <v>63</v>
      </c>
      <c r="G358" s="1">
        <v>61</v>
      </c>
      <c r="H358" s="1">
        <v>61</v>
      </c>
    </row>
    <row r="359" spans="1:8" x14ac:dyDescent="0.3">
      <c r="A359" s="1" t="s">
        <v>8</v>
      </c>
      <c r="B359" s="1" t="s">
        <v>13</v>
      </c>
      <c r="C359" s="1" t="s">
        <v>14</v>
      </c>
      <c r="D359" s="1" t="s">
        <v>20</v>
      </c>
      <c r="E359" s="1" t="s">
        <v>15</v>
      </c>
      <c r="F359" s="1">
        <v>42</v>
      </c>
      <c r="G359" s="1">
        <v>66</v>
      </c>
      <c r="H359" s="1">
        <v>69</v>
      </c>
    </row>
    <row r="360" spans="1:8" x14ac:dyDescent="0.3">
      <c r="A360" s="1" t="s">
        <v>17</v>
      </c>
      <c r="B360" s="1" t="s">
        <v>21</v>
      </c>
      <c r="C360" s="1" t="s">
        <v>14</v>
      </c>
      <c r="D360" s="1" t="s">
        <v>20</v>
      </c>
      <c r="E360" s="1" t="s">
        <v>12</v>
      </c>
      <c r="F360" s="1">
        <v>59</v>
      </c>
      <c r="G360" s="1">
        <v>62</v>
      </c>
      <c r="H360" s="1">
        <v>61</v>
      </c>
    </row>
    <row r="361" spans="1:8" x14ac:dyDescent="0.3">
      <c r="A361" s="1" t="s">
        <v>8</v>
      </c>
      <c r="B361" s="1" t="s">
        <v>21</v>
      </c>
      <c r="C361" s="1" t="s">
        <v>14</v>
      </c>
      <c r="D361" s="1" t="s">
        <v>11</v>
      </c>
      <c r="E361" s="1" t="s">
        <v>12</v>
      </c>
      <c r="F361" s="1">
        <v>80</v>
      </c>
      <c r="G361" s="1">
        <v>90</v>
      </c>
      <c r="H361" s="1">
        <v>89</v>
      </c>
    </row>
    <row r="362" spans="1:8" x14ac:dyDescent="0.3">
      <c r="A362" s="1" t="s">
        <v>8</v>
      </c>
      <c r="B362" s="1" t="s">
        <v>9</v>
      </c>
      <c r="C362" s="1" t="s">
        <v>22</v>
      </c>
      <c r="D362" s="1" t="s">
        <v>11</v>
      </c>
      <c r="E362" s="1" t="s">
        <v>12</v>
      </c>
      <c r="F362" s="1">
        <v>58</v>
      </c>
      <c r="G362" s="1">
        <v>62</v>
      </c>
      <c r="H362" s="1">
        <v>59</v>
      </c>
    </row>
    <row r="363" spans="1:8" x14ac:dyDescent="0.3">
      <c r="A363" s="1" t="s">
        <v>17</v>
      </c>
      <c r="B363" s="1" t="s">
        <v>9</v>
      </c>
      <c r="C363" s="1" t="s">
        <v>23</v>
      </c>
      <c r="D363" s="1" t="s">
        <v>11</v>
      </c>
      <c r="E363" s="1" t="s">
        <v>15</v>
      </c>
      <c r="F363" s="1">
        <v>85</v>
      </c>
      <c r="G363" s="1">
        <v>84</v>
      </c>
      <c r="H363" s="1">
        <v>78</v>
      </c>
    </row>
    <row r="364" spans="1:8" x14ac:dyDescent="0.3">
      <c r="A364" s="1" t="s">
        <v>8</v>
      </c>
      <c r="B364" s="1" t="s">
        <v>13</v>
      </c>
      <c r="C364" s="1" t="s">
        <v>14</v>
      </c>
      <c r="D364" s="1" t="s">
        <v>11</v>
      </c>
      <c r="E364" s="1" t="s">
        <v>12</v>
      </c>
      <c r="F364" s="1">
        <v>52</v>
      </c>
      <c r="G364" s="1">
        <v>58</v>
      </c>
      <c r="H364" s="1">
        <v>58</v>
      </c>
    </row>
    <row r="365" spans="1:8" x14ac:dyDescent="0.3">
      <c r="A365" s="1" t="s">
        <v>8</v>
      </c>
      <c r="B365" s="1" t="s">
        <v>21</v>
      </c>
      <c r="C365" s="1" t="s">
        <v>23</v>
      </c>
      <c r="D365" s="1" t="s">
        <v>20</v>
      </c>
      <c r="E365" s="1" t="s">
        <v>12</v>
      </c>
      <c r="F365" s="1">
        <v>27</v>
      </c>
      <c r="G365" s="1">
        <v>34</v>
      </c>
      <c r="H365" s="1">
        <v>32</v>
      </c>
    </row>
    <row r="366" spans="1:8" x14ac:dyDescent="0.3">
      <c r="A366" s="1" t="s">
        <v>17</v>
      </c>
      <c r="B366" s="1" t="s">
        <v>13</v>
      </c>
      <c r="C366" s="1" t="s">
        <v>14</v>
      </c>
      <c r="D366" s="1" t="s">
        <v>11</v>
      </c>
      <c r="E366" s="1" t="s">
        <v>12</v>
      </c>
      <c r="F366" s="1">
        <v>59</v>
      </c>
      <c r="G366" s="1">
        <v>60</v>
      </c>
      <c r="H366" s="1">
        <v>58</v>
      </c>
    </row>
    <row r="367" spans="1:8" x14ac:dyDescent="0.3">
      <c r="A367" s="1" t="s">
        <v>17</v>
      </c>
      <c r="B367" s="1" t="s">
        <v>18</v>
      </c>
      <c r="C367" s="1" t="s">
        <v>10</v>
      </c>
      <c r="D367" s="1" t="s">
        <v>20</v>
      </c>
      <c r="E367" s="1" t="s">
        <v>15</v>
      </c>
      <c r="F367" s="1">
        <v>49</v>
      </c>
      <c r="G367" s="1">
        <v>58</v>
      </c>
      <c r="H367" s="1">
        <v>60</v>
      </c>
    </row>
    <row r="368" spans="1:8" x14ac:dyDescent="0.3">
      <c r="A368" s="1" t="s">
        <v>17</v>
      </c>
      <c r="B368" s="1" t="s">
        <v>13</v>
      </c>
      <c r="C368" s="1" t="s">
        <v>22</v>
      </c>
      <c r="D368" s="1" t="s">
        <v>11</v>
      </c>
      <c r="E368" s="1" t="s">
        <v>15</v>
      </c>
      <c r="F368" s="1">
        <v>69</v>
      </c>
      <c r="G368" s="1">
        <v>58</v>
      </c>
      <c r="H368" s="1">
        <v>53</v>
      </c>
    </row>
    <row r="369" spans="1:8" x14ac:dyDescent="0.3">
      <c r="A369" s="1" t="s">
        <v>17</v>
      </c>
      <c r="B369" s="1" t="s">
        <v>13</v>
      </c>
      <c r="C369" s="1" t="s">
        <v>10</v>
      </c>
      <c r="D369" s="1" t="s">
        <v>20</v>
      </c>
      <c r="E369" s="1" t="s">
        <v>12</v>
      </c>
      <c r="F369" s="1">
        <v>61</v>
      </c>
      <c r="G369" s="1">
        <v>66</v>
      </c>
      <c r="H369" s="1">
        <v>61</v>
      </c>
    </row>
    <row r="370" spans="1:8" x14ac:dyDescent="0.3">
      <c r="A370" s="1" t="s">
        <v>8</v>
      </c>
      <c r="B370" s="1" t="s">
        <v>18</v>
      </c>
      <c r="C370" s="1" t="s">
        <v>23</v>
      </c>
      <c r="D370" s="1" t="s">
        <v>20</v>
      </c>
      <c r="E370" s="1" t="s">
        <v>12</v>
      </c>
      <c r="F370" s="1">
        <v>44</v>
      </c>
      <c r="G370" s="1">
        <v>64</v>
      </c>
      <c r="H370" s="1">
        <v>58</v>
      </c>
    </row>
    <row r="371" spans="1:8" x14ac:dyDescent="0.3">
      <c r="A371" s="1" t="s">
        <v>8</v>
      </c>
      <c r="B371" s="1" t="s">
        <v>21</v>
      </c>
      <c r="C371" s="1" t="s">
        <v>23</v>
      </c>
      <c r="D371" s="1" t="s">
        <v>11</v>
      </c>
      <c r="E371" s="1" t="s">
        <v>12</v>
      </c>
      <c r="F371" s="1">
        <v>73</v>
      </c>
      <c r="G371" s="1">
        <v>84</v>
      </c>
      <c r="H371" s="1">
        <v>85</v>
      </c>
    </row>
    <row r="372" spans="1:8" x14ac:dyDescent="0.3">
      <c r="A372" s="1" t="s">
        <v>17</v>
      </c>
      <c r="B372" s="1" t="s">
        <v>24</v>
      </c>
      <c r="C372" s="1" t="s">
        <v>14</v>
      </c>
      <c r="D372" s="1" t="s">
        <v>11</v>
      </c>
      <c r="E372" s="1" t="s">
        <v>12</v>
      </c>
      <c r="F372" s="1">
        <v>84</v>
      </c>
      <c r="G372" s="1">
        <v>77</v>
      </c>
      <c r="H372" s="1">
        <v>71</v>
      </c>
    </row>
    <row r="373" spans="1:8" x14ac:dyDescent="0.3">
      <c r="A373" s="1" t="s">
        <v>8</v>
      </c>
      <c r="B373" s="1" t="s">
        <v>13</v>
      </c>
      <c r="C373" s="1" t="s">
        <v>14</v>
      </c>
      <c r="D373" s="1" t="s">
        <v>20</v>
      </c>
      <c r="E373" s="1" t="s">
        <v>15</v>
      </c>
      <c r="F373" s="1">
        <v>45</v>
      </c>
      <c r="G373" s="1">
        <v>73</v>
      </c>
      <c r="H373" s="1">
        <v>70</v>
      </c>
    </row>
    <row r="374" spans="1:8" x14ac:dyDescent="0.3">
      <c r="A374" s="1" t="s">
        <v>17</v>
      </c>
      <c r="B374" s="1" t="s">
        <v>21</v>
      </c>
      <c r="C374" s="1" t="s">
        <v>23</v>
      </c>
      <c r="D374" s="1" t="s">
        <v>11</v>
      </c>
      <c r="E374" s="1" t="s">
        <v>12</v>
      </c>
      <c r="F374" s="1">
        <v>74</v>
      </c>
      <c r="G374" s="1">
        <v>74</v>
      </c>
      <c r="H374" s="1">
        <v>72</v>
      </c>
    </row>
    <row r="375" spans="1:8" x14ac:dyDescent="0.3">
      <c r="A375" s="1" t="s">
        <v>8</v>
      </c>
      <c r="B375" s="1" t="s">
        <v>21</v>
      </c>
      <c r="C375" s="1" t="s">
        <v>14</v>
      </c>
      <c r="D375" s="1" t="s">
        <v>11</v>
      </c>
      <c r="E375" s="1" t="s">
        <v>15</v>
      </c>
      <c r="F375" s="1">
        <v>82</v>
      </c>
      <c r="G375" s="1">
        <v>97</v>
      </c>
      <c r="H375" s="1">
        <v>96</v>
      </c>
    </row>
    <row r="376" spans="1:8" x14ac:dyDescent="0.3">
      <c r="A376" s="1" t="s">
        <v>8</v>
      </c>
      <c r="B376" s="1" t="s">
        <v>21</v>
      </c>
      <c r="C376" s="1" t="s">
        <v>10</v>
      </c>
      <c r="D376" s="1" t="s">
        <v>11</v>
      </c>
      <c r="E376" s="1" t="s">
        <v>12</v>
      </c>
      <c r="F376" s="1">
        <v>59</v>
      </c>
      <c r="G376" s="1">
        <v>70</v>
      </c>
      <c r="H376" s="1">
        <v>73</v>
      </c>
    </row>
    <row r="377" spans="1:8" x14ac:dyDescent="0.3">
      <c r="A377" s="1" t="s">
        <v>17</v>
      </c>
      <c r="B377" s="1" t="s">
        <v>24</v>
      </c>
      <c r="C377" s="1" t="s">
        <v>19</v>
      </c>
      <c r="D377" s="1" t="s">
        <v>20</v>
      </c>
      <c r="E377" s="1" t="s">
        <v>12</v>
      </c>
      <c r="F377" s="1">
        <v>46</v>
      </c>
      <c r="G377" s="1">
        <v>43</v>
      </c>
      <c r="H377" s="1">
        <v>41</v>
      </c>
    </row>
    <row r="378" spans="1:8" x14ac:dyDescent="0.3">
      <c r="A378" s="1" t="s">
        <v>8</v>
      </c>
      <c r="B378" s="1" t="s">
        <v>21</v>
      </c>
      <c r="C378" s="1" t="s">
        <v>23</v>
      </c>
      <c r="D378" s="1" t="s">
        <v>11</v>
      </c>
      <c r="E378" s="1" t="s">
        <v>12</v>
      </c>
      <c r="F378" s="1">
        <v>80</v>
      </c>
      <c r="G378" s="1">
        <v>90</v>
      </c>
      <c r="H378" s="1">
        <v>82</v>
      </c>
    </row>
    <row r="379" spans="1:8" x14ac:dyDescent="0.3">
      <c r="A379" s="1" t="s">
        <v>8</v>
      </c>
      <c r="B379" s="1" t="s">
        <v>21</v>
      </c>
      <c r="C379" s="1" t="s">
        <v>16</v>
      </c>
      <c r="D379" s="1" t="s">
        <v>20</v>
      </c>
      <c r="E379" s="1" t="s">
        <v>15</v>
      </c>
      <c r="F379" s="1">
        <v>85</v>
      </c>
      <c r="G379" s="1">
        <v>95</v>
      </c>
      <c r="H379" s="1">
        <v>100</v>
      </c>
    </row>
    <row r="380" spans="1:8" x14ac:dyDescent="0.3">
      <c r="A380" s="1" t="s">
        <v>8</v>
      </c>
      <c r="B380" s="1" t="s">
        <v>18</v>
      </c>
      <c r="C380" s="1" t="s">
        <v>23</v>
      </c>
      <c r="D380" s="1" t="s">
        <v>11</v>
      </c>
      <c r="E380" s="1" t="s">
        <v>12</v>
      </c>
      <c r="F380" s="1">
        <v>71</v>
      </c>
      <c r="G380" s="1">
        <v>83</v>
      </c>
      <c r="H380" s="1">
        <v>77</v>
      </c>
    </row>
    <row r="381" spans="1:8" x14ac:dyDescent="0.3">
      <c r="A381" s="1" t="s">
        <v>17</v>
      </c>
      <c r="B381" s="1" t="s">
        <v>18</v>
      </c>
      <c r="C381" s="1" t="s">
        <v>10</v>
      </c>
      <c r="D381" s="1" t="s">
        <v>11</v>
      </c>
      <c r="E381" s="1" t="s">
        <v>12</v>
      </c>
      <c r="F381" s="1">
        <v>66</v>
      </c>
      <c r="G381" s="1">
        <v>64</v>
      </c>
      <c r="H381" s="1">
        <v>62</v>
      </c>
    </row>
    <row r="382" spans="1:8" x14ac:dyDescent="0.3">
      <c r="A382" s="1" t="s">
        <v>8</v>
      </c>
      <c r="B382" s="1" t="s">
        <v>9</v>
      </c>
      <c r="C382" s="1" t="s">
        <v>19</v>
      </c>
      <c r="D382" s="1" t="s">
        <v>11</v>
      </c>
      <c r="E382" s="1" t="s">
        <v>12</v>
      </c>
      <c r="F382" s="1">
        <v>80</v>
      </c>
      <c r="G382" s="1">
        <v>86</v>
      </c>
      <c r="H382" s="1">
        <v>83</v>
      </c>
    </row>
    <row r="383" spans="1:8" x14ac:dyDescent="0.3">
      <c r="A383" s="1" t="s">
        <v>17</v>
      </c>
      <c r="B383" s="1" t="s">
        <v>13</v>
      </c>
      <c r="C383" s="1" t="s">
        <v>19</v>
      </c>
      <c r="D383" s="1" t="s">
        <v>11</v>
      </c>
      <c r="E383" s="1" t="s">
        <v>15</v>
      </c>
      <c r="F383" s="1">
        <v>87</v>
      </c>
      <c r="G383" s="1">
        <v>100</v>
      </c>
      <c r="H383" s="1">
        <v>95</v>
      </c>
    </row>
    <row r="384" spans="1:8" x14ac:dyDescent="0.3">
      <c r="A384" s="1" t="s">
        <v>17</v>
      </c>
      <c r="B384" s="1" t="s">
        <v>13</v>
      </c>
      <c r="C384" s="1" t="s">
        <v>16</v>
      </c>
      <c r="D384" s="1" t="s">
        <v>20</v>
      </c>
      <c r="E384" s="1" t="s">
        <v>12</v>
      </c>
      <c r="F384" s="1">
        <v>79</v>
      </c>
      <c r="G384" s="1">
        <v>81</v>
      </c>
      <c r="H384" s="1">
        <v>71</v>
      </c>
    </row>
    <row r="385" spans="1:8" x14ac:dyDescent="0.3">
      <c r="A385" s="1" t="s">
        <v>8</v>
      </c>
      <c r="B385" s="1" t="s">
        <v>24</v>
      </c>
      <c r="C385" s="1" t="s">
        <v>23</v>
      </c>
      <c r="D385" s="1" t="s">
        <v>20</v>
      </c>
      <c r="E385" s="1" t="s">
        <v>12</v>
      </c>
      <c r="F385" s="1">
        <v>38</v>
      </c>
      <c r="G385" s="1">
        <v>49</v>
      </c>
      <c r="H385" s="1">
        <v>45</v>
      </c>
    </row>
    <row r="386" spans="1:8" x14ac:dyDescent="0.3">
      <c r="A386" s="1" t="s">
        <v>8</v>
      </c>
      <c r="B386" s="1" t="s">
        <v>18</v>
      </c>
      <c r="C386" s="1" t="s">
        <v>23</v>
      </c>
      <c r="D386" s="1" t="s">
        <v>20</v>
      </c>
      <c r="E386" s="1" t="s">
        <v>12</v>
      </c>
      <c r="F386" s="1">
        <v>38</v>
      </c>
      <c r="G386" s="1">
        <v>43</v>
      </c>
      <c r="H386" s="1">
        <v>43</v>
      </c>
    </row>
    <row r="387" spans="1:8" x14ac:dyDescent="0.3">
      <c r="A387" s="1" t="s">
        <v>8</v>
      </c>
      <c r="B387" s="1" t="s">
        <v>24</v>
      </c>
      <c r="C387" s="1" t="s">
        <v>14</v>
      </c>
      <c r="D387" s="1" t="s">
        <v>11</v>
      </c>
      <c r="E387" s="1" t="s">
        <v>12</v>
      </c>
      <c r="F387" s="1">
        <v>67</v>
      </c>
      <c r="G387" s="1">
        <v>76</v>
      </c>
      <c r="H387" s="1">
        <v>75</v>
      </c>
    </row>
    <row r="388" spans="1:8" x14ac:dyDescent="0.3">
      <c r="A388" s="1" t="s">
        <v>8</v>
      </c>
      <c r="B388" s="1" t="s">
        <v>24</v>
      </c>
      <c r="C388" s="1" t="s">
        <v>10</v>
      </c>
      <c r="D388" s="1" t="s">
        <v>11</v>
      </c>
      <c r="E388" s="1" t="s">
        <v>12</v>
      </c>
      <c r="F388" s="1">
        <v>64</v>
      </c>
      <c r="G388" s="1">
        <v>73</v>
      </c>
      <c r="H388" s="1">
        <v>70</v>
      </c>
    </row>
    <row r="389" spans="1:8" x14ac:dyDescent="0.3">
      <c r="A389" s="1" t="s">
        <v>8</v>
      </c>
      <c r="B389" s="1" t="s">
        <v>13</v>
      </c>
      <c r="C389" s="1" t="s">
        <v>19</v>
      </c>
      <c r="D389" s="1" t="s">
        <v>20</v>
      </c>
      <c r="E389" s="1" t="s">
        <v>12</v>
      </c>
      <c r="F389" s="1">
        <v>57</v>
      </c>
      <c r="G389" s="1">
        <v>78</v>
      </c>
      <c r="H389" s="1">
        <v>67</v>
      </c>
    </row>
    <row r="390" spans="1:8" x14ac:dyDescent="0.3">
      <c r="A390" s="1" t="s">
        <v>8</v>
      </c>
      <c r="B390" s="1" t="s">
        <v>21</v>
      </c>
      <c r="C390" s="1" t="s">
        <v>22</v>
      </c>
      <c r="D390" s="1" t="s">
        <v>11</v>
      </c>
      <c r="E390" s="1" t="s">
        <v>12</v>
      </c>
      <c r="F390" s="1">
        <v>62</v>
      </c>
      <c r="G390" s="1">
        <v>64</v>
      </c>
      <c r="H390" s="1">
        <v>64</v>
      </c>
    </row>
    <row r="391" spans="1:8" x14ac:dyDescent="0.3">
      <c r="A391" s="1" t="s">
        <v>17</v>
      </c>
      <c r="B391" s="1" t="s">
        <v>21</v>
      </c>
      <c r="C391" s="1" t="s">
        <v>16</v>
      </c>
      <c r="D391" s="1" t="s">
        <v>11</v>
      </c>
      <c r="E391" s="1" t="s">
        <v>12</v>
      </c>
      <c r="F391" s="1">
        <v>73</v>
      </c>
      <c r="G391" s="1">
        <v>70</v>
      </c>
      <c r="H391" s="1">
        <v>75</v>
      </c>
    </row>
    <row r="392" spans="1:8" x14ac:dyDescent="0.3">
      <c r="A392" s="1" t="s">
        <v>17</v>
      </c>
      <c r="B392" s="1" t="s">
        <v>24</v>
      </c>
      <c r="C392" s="1" t="s">
        <v>23</v>
      </c>
      <c r="D392" s="1" t="s">
        <v>20</v>
      </c>
      <c r="E392" s="1" t="s">
        <v>15</v>
      </c>
      <c r="F392" s="1">
        <v>73</v>
      </c>
      <c r="G392" s="1">
        <v>67</v>
      </c>
      <c r="H392" s="1">
        <v>59</v>
      </c>
    </row>
    <row r="393" spans="1:8" x14ac:dyDescent="0.3">
      <c r="A393" s="1" t="s">
        <v>8</v>
      </c>
      <c r="B393" s="1" t="s">
        <v>21</v>
      </c>
      <c r="C393" s="1" t="s">
        <v>14</v>
      </c>
      <c r="D393" s="1" t="s">
        <v>11</v>
      </c>
      <c r="E393" s="1" t="s">
        <v>12</v>
      </c>
      <c r="F393" s="1">
        <v>77</v>
      </c>
      <c r="G393" s="1">
        <v>68</v>
      </c>
      <c r="H393" s="1">
        <v>77</v>
      </c>
    </row>
    <row r="394" spans="1:8" x14ac:dyDescent="0.3">
      <c r="A394" s="1" t="s">
        <v>17</v>
      </c>
      <c r="B394" s="1" t="s">
        <v>24</v>
      </c>
      <c r="C394" s="1" t="s">
        <v>14</v>
      </c>
      <c r="D394" s="1" t="s">
        <v>11</v>
      </c>
      <c r="E394" s="1" t="s">
        <v>12</v>
      </c>
      <c r="F394" s="1">
        <v>76</v>
      </c>
      <c r="G394" s="1">
        <v>67</v>
      </c>
      <c r="H394" s="1">
        <v>67</v>
      </c>
    </row>
    <row r="395" spans="1:8" x14ac:dyDescent="0.3">
      <c r="A395" s="1" t="s">
        <v>17</v>
      </c>
      <c r="B395" s="1" t="s">
        <v>13</v>
      </c>
      <c r="C395" s="1" t="s">
        <v>19</v>
      </c>
      <c r="D395" s="1" t="s">
        <v>11</v>
      </c>
      <c r="E395" s="1" t="s">
        <v>15</v>
      </c>
      <c r="F395" s="1">
        <v>57</v>
      </c>
      <c r="G395" s="1">
        <v>54</v>
      </c>
      <c r="H395" s="1">
        <v>56</v>
      </c>
    </row>
    <row r="396" spans="1:8" x14ac:dyDescent="0.3">
      <c r="A396" s="1" t="s">
        <v>8</v>
      </c>
      <c r="B396" s="1" t="s">
        <v>13</v>
      </c>
      <c r="C396" s="1" t="s">
        <v>23</v>
      </c>
      <c r="D396" s="1" t="s">
        <v>11</v>
      </c>
      <c r="E396" s="1" t="s">
        <v>15</v>
      </c>
      <c r="F396" s="1">
        <v>65</v>
      </c>
      <c r="G396" s="1">
        <v>74</v>
      </c>
      <c r="H396" s="1">
        <v>77</v>
      </c>
    </row>
    <row r="397" spans="1:8" x14ac:dyDescent="0.3">
      <c r="A397" s="1" t="s">
        <v>17</v>
      </c>
      <c r="B397" s="1" t="s">
        <v>18</v>
      </c>
      <c r="C397" s="1" t="s">
        <v>22</v>
      </c>
      <c r="D397" s="1" t="s">
        <v>20</v>
      </c>
      <c r="E397" s="1" t="s">
        <v>12</v>
      </c>
      <c r="F397" s="1">
        <v>48</v>
      </c>
      <c r="G397" s="1">
        <v>45</v>
      </c>
      <c r="H397" s="1">
        <v>41</v>
      </c>
    </row>
    <row r="398" spans="1:8" x14ac:dyDescent="0.3">
      <c r="A398" s="1" t="s">
        <v>8</v>
      </c>
      <c r="B398" s="1" t="s">
        <v>9</v>
      </c>
      <c r="C398" s="1" t="s">
        <v>22</v>
      </c>
      <c r="D398" s="1" t="s">
        <v>20</v>
      </c>
      <c r="E398" s="1" t="s">
        <v>12</v>
      </c>
      <c r="F398" s="1">
        <v>50</v>
      </c>
      <c r="G398" s="1">
        <v>67</v>
      </c>
      <c r="H398" s="1">
        <v>63</v>
      </c>
    </row>
    <row r="399" spans="1:8" x14ac:dyDescent="0.3">
      <c r="A399" s="1" t="s">
        <v>8</v>
      </c>
      <c r="B399" s="1" t="s">
        <v>13</v>
      </c>
      <c r="C399" s="1" t="s">
        <v>19</v>
      </c>
      <c r="D399" s="1" t="s">
        <v>11</v>
      </c>
      <c r="E399" s="1" t="s">
        <v>12</v>
      </c>
      <c r="F399" s="1">
        <v>85</v>
      </c>
      <c r="G399" s="1">
        <v>89</v>
      </c>
      <c r="H399" s="1">
        <v>95</v>
      </c>
    </row>
    <row r="400" spans="1:8" x14ac:dyDescent="0.3">
      <c r="A400" s="1" t="s">
        <v>17</v>
      </c>
      <c r="B400" s="1" t="s">
        <v>9</v>
      </c>
      <c r="C400" s="1" t="s">
        <v>23</v>
      </c>
      <c r="D400" s="1" t="s">
        <v>11</v>
      </c>
      <c r="E400" s="1" t="s">
        <v>12</v>
      </c>
      <c r="F400" s="1">
        <v>74</v>
      </c>
      <c r="G400" s="1">
        <v>63</v>
      </c>
      <c r="H400" s="1">
        <v>57</v>
      </c>
    </row>
    <row r="401" spans="1:8" x14ac:dyDescent="0.3">
      <c r="A401" s="1" t="s">
        <v>17</v>
      </c>
      <c r="B401" s="1" t="s">
        <v>21</v>
      </c>
      <c r="C401" s="1" t="s">
        <v>23</v>
      </c>
      <c r="D401" s="1" t="s">
        <v>11</v>
      </c>
      <c r="E401" s="1" t="s">
        <v>12</v>
      </c>
      <c r="F401" s="1">
        <v>60</v>
      </c>
      <c r="G401" s="1">
        <v>59</v>
      </c>
      <c r="H401" s="1">
        <v>54</v>
      </c>
    </row>
    <row r="402" spans="1:8" x14ac:dyDescent="0.3">
      <c r="A402" s="1" t="s">
        <v>8</v>
      </c>
      <c r="B402" s="1" t="s">
        <v>13</v>
      </c>
      <c r="C402" s="1" t="s">
        <v>23</v>
      </c>
      <c r="D402" s="1" t="s">
        <v>11</v>
      </c>
      <c r="E402" s="1" t="s">
        <v>15</v>
      </c>
      <c r="F402" s="1">
        <v>59</v>
      </c>
      <c r="G402" s="1">
        <v>54</v>
      </c>
      <c r="H402" s="1">
        <v>67</v>
      </c>
    </row>
    <row r="403" spans="1:8" x14ac:dyDescent="0.3">
      <c r="A403" s="1" t="s">
        <v>17</v>
      </c>
      <c r="B403" s="1" t="s">
        <v>18</v>
      </c>
      <c r="C403" s="1" t="s">
        <v>14</v>
      </c>
      <c r="D403" s="1" t="s">
        <v>11</v>
      </c>
      <c r="E403" s="1" t="s">
        <v>12</v>
      </c>
      <c r="F403" s="1">
        <v>53</v>
      </c>
      <c r="G403" s="1">
        <v>43</v>
      </c>
      <c r="H403" s="1">
        <v>43</v>
      </c>
    </row>
    <row r="404" spans="1:8" x14ac:dyDescent="0.3">
      <c r="A404" s="1" t="s">
        <v>8</v>
      </c>
      <c r="B404" s="1" t="s">
        <v>18</v>
      </c>
      <c r="C404" s="1" t="s">
        <v>14</v>
      </c>
      <c r="D404" s="1" t="s">
        <v>20</v>
      </c>
      <c r="E404" s="1" t="s">
        <v>12</v>
      </c>
      <c r="F404" s="1">
        <v>49</v>
      </c>
      <c r="G404" s="1">
        <v>65</v>
      </c>
      <c r="H404" s="1">
        <v>55</v>
      </c>
    </row>
    <row r="405" spans="1:8" x14ac:dyDescent="0.3">
      <c r="A405" s="1" t="s">
        <v>8</v>
      </c>
      <c r="B405" s="1" t="s">
        <v>21</v>
      </c>
      <c r="C405" s="1" t="s">
        <v>22</v>
      </c>
      <c r="D405" s="1" t="s">
        <v>11</v>
      </c>
      <c r="E405" s="1" t="s">
        <v>15</v>
      </c>
      <c r="F405" s="1">
        <v>88</v>
      </c>
      <c r="G405" s="1">
        <v>99</v>
      </c>
      <c r="H405" s="1">
        <v>100</v>
      </c>
    </row>
    <row r="406" spans="1:8" x14ac:dyDescent="0.3">
      <c r="A406" s="1" t="s">
        <v>8</v>
      </c>
      <c r="B406" s="1" t="s">
        <v>13</v>
      </c>
      <c r="C406" s="1" t="s">
        <v>22</v>
      </c>
      <c r="D406" s="1" t="s">
        <v>11</v>
      </c>
      <c r="E406" s="1" t="s">
        <v>12</v>
      </c>
      <c r="F406" s="1">
        <v>54</v>
      </c>
      <c r="G406" s="1">
        <v>59</v>
      </c>
      <c r="H406" s="1">
        <v>62</v>
      </c>
    </row>
    <row r="407" spans="1:8" x14ac:dyDescent="0.3">
      <c r="A407" s="1" t="s">
        <v>8</v>
      </c>
      <c r="B407" s="1" t="s">
        <v>13</v>
      </c>
      <c r="C407" s="1" t="s">
        <v>23</v>
      </c>
      <c r="D407" s="1" t="s">
        <v>11</v>
      </c>
      <c r="E407" s="1" t="s">
        <v>12</v>
      </c>
      <c r="F407" s="1">
        <v>63</v>
      </c>
      <c r="G407" s="1">
        <v>73</v>
      </c>
      <c r="H407" s="1">
        <v>68</v>
      </c>
    </row>
    <row r="408" spans="1:8" x14ac:dyDescent="0.3">
      <c r="A408" s="1" t="s">
        <v>17</v>
      </c>
      <c r="B408" s="1" t="s">
        <v>9</v>
      </c>
      <c r="C408" s="1" t="s">
        <v>19</v>
      </c>
      <c r="D408" s="1" t="s">
        <v>11</v>
      </c>
      <c r="E408" s="1" t="s">
        <v>15</v>
      </c>
      <c r="F408" s="1">
        <v>65</v>
      </c>
      <c r="G408" s="1">
        <v>65</v>
      </c>
      <c r="H408" s="1">
        <v>63</v>
      </c>
    </row>
    <row r="409" spans="1:8" x14ac:dyDescent="0.3">
      <c r="A409" s="1" t="s">
        <v>8</v>
      </c>
      <c r="B409" s="1" t="s">
        <v>9</v>
      </c>
      <c r="C409" s="1" t="s">
        <v>19</v>
      </c>
      <c r="D409" s="1" t="s">
        <v>11</v>
      </c>
      <c r="E409" s="1" t="s">
        <v>12</v>
      </c>
      <c r="F409" s="1">
        <v>82</v>
      </c>
      <c r="G409" s="1">
        <v>80</v>
      </c>
      <c r="H409" s="1">
        <v>77</v>
      </c>
    </row>
    <row r="410" spans="1:8" x14ac:dyDescent="0.3">
      <c r="A410" s="1" t="s">
        <v>8</v>
      </c>
      <c r="B410" s="1" t="s">
        <v>21</v>
      </c>
      <c r="C410" s="1" t="s">
        <v>22</v>
      </c>
      <c r="D410" s="1" t="s">
        <v>20</v>
      </c>
      <c r="E410" s="1" t="s">
        <v>15</v>
      </c>
      <c r="F410" s="1">
        <v>52</v>
      </c>
      <c r="G410" s="1">
        <v>57</v>
      </c>
      <c r="H410" s="1">
        <v>56</v>
      </c>
    </row>
    <row r="411" spans="1:8" x14ac:dyDescent="0.3">
      <c r="A411" s="1" t="s">
        <v>17</v>
      </c>
      <c r="B411" s="1" t="s">
        <v>21</v>
      </c>
      <c r="C411" s="1" t="s">
        <v>19</v>
      </c>
      <c r="D411" s="1" t="s">
        <v>11</v>
      </c>
      <c r="E411" s="1" t="s">
        <v>15</v>
      </c>
      <c r="F411" s="1">
        <v>87</v>
      </c>
      <c r="G411" s="1">
        <v>84</v>
      </c>
      <c r="H411" s="1">
        <v>85</v>
      </c>
    </row>
    <row r="412" spans="1:8" x14ac:dyDescent="0.3">
      <c r="A412" s="1" t="s">
        <v>8</v>
      </c>
      <c r="B412" s="1" t="s">
        <v>21</v>
      </c>
      <c r="C412" s="1" t="s">
        <v>16</v>
      </c>
      <c r="D412" s="1" t="s">
        <v>11</v>
      </c>
      <c r="E412" s="1" t="s">
        <v>15</v>
      </c>
      <c r="F412" s="1">
        <v>70</v>
      </c>
      <c r="G412" s="1">
        <v>71</v>
      </c>
      <c r="H412" s="1">
        <v>74</v>
      </c>
    </row>
    <row r="413" spans="1:8" x14ac:dyDescent="0.3">
      <c r="A413" s="1" t="s">
        <v>17</v>
      </c>
      <c r="B413" s="1" t="s">
        <v>24</v>
      </c>
      <c r="C413" s="1" t="s">
        <v>14</v>
      </c>
      <c r="D413" s="1" t="s">
        <v>11</v>
      </c>
      <c r="E413" s="1" t="s">
        <v>15</v>
      </c>
      <c r="F413" s="1">
        <v>84</v>
      </c>
      <c r="G413" s="1">
        <v>83</v>
      </c>
      <c r="H413" s="1">
        <v>78</v>
      </c>
    </row>
    <row r="414" spans="1:8" x14ac:dyDescent="0.3">
      <c r="A414" s="1" t="s">
        <v>17</v>
      </c>
      <c r="B414" s="1" t="s">
        <v>21</v>
      </c>
      <c r="C414" s="1" t="s">
        <v>19</v>
      </c>
      <c r="D414" s="1" t="s">
        <v>11</v>
      </c>
      <c r="E414" s="1" t="s">
        <v>12</v>
      </c>
      <c r="F414" s="1">
        <v>71</v>
      </c>
      <c r="G414" s="1">
        <v>66</v>
      </c>
      <c r="H414" s="1">
        <v>60</v>
      </c>
    </row>
    <row r="415" spans="1:8" x14ac:dyDescent="0.3">
      <c r="A415" s="1" t="s">
        <v>17</v>
      </c>
      <c r="B415" s="1" t="s">
        <v>9</v>
      </c>
      <c r="C415" s="1" t="s">
        <v>23</v>
      </c>
      <c r="D415" s="1" t="s">
        <v>11</v>
      </c>
      <c r="E415" s="1" t="s">
        <v>15</v>
      </c>
      <c r="F415" s="1">
        <v>63</v>
      </c>
      <c r="G415" s="1">
        <v>67</v>
      </c>
      <c r="H415" s="1">
        <v>67</v>
      </c>
    </row>
    <row r="416" spans="1:8" x14ac:dyDescent="0.3">
      <c r="A416" s="1" t="s">
        <v>8</v>
      </c>
      <c r="B416" s="1" t="s">
        <v>13</v>
      </c>
      <c r="C416" s="1" t="s">
        <v>10</v>
      </c>
      <c r="D416" s="1" t="s">
        <v>20</v>
      </c>
      <c r="E416" s="1" t="s">
        <v>15</v>
      </c>
      <c r="F416" s="1">
        <v>51</v>
      </c>
      <c r="G416" s="1">
        <v>72</v>
      </c>
      <c r="H416" s="1">
        <v>79</v>
      </c>
    </row>
    <row r="417" spans="1:8" x14ac:dyDescent="0.3">
      <c r="A417" s="1" t="s">
        <v>17</v>
      </c>
      <c r="B417" s="1" t="s">
        <v>24</v>
      </c>
      <c r="C417" s="1" t="s">
        <v>22</v>
      </c>
      <c r="D417" s="1" t="s">
        <v>11</v>
      </c>
      <c r="E417" s="1" t="s">
        <v>12</v>
      </c>
      <c r="F417" s="1">
        <v>84</v>
      </c>
      <c r="G417" s="1">
        <v>73</v>
      </c>
      <c r="H417" s="1">
        <v>69</v>
      </c>
    </row>
    <row r="418" spans="1:8" x14ac:dyDescent="0.3">
      <c r="A418" s="1" t="s">
        <v>17</v>
      </c>
      <c r="B418" s="1" t="s">
        <v>13</v>
      </c>
      <c r="C418" s="1" t="s">
        <v>10</v>
      </c>
      <c r="D418" s="1" t="s">
        <v>11</v>
      </c>
      <c r="E418" s="1" t="s">
        <v>15</v>
      </c>
      <c r="F418" s="1">
        <v>71</v>
      </c>
      <c r="G418" s="1">
        <v>74</v>
      </c>
      <c r="H418" s="1">
        <v>68</v>
      </c>
    </row>
    <row r="419" spans="1:8" x14ac:dyDescent="0.3">
      <c r="A419" s="1" t="s">
        <v>17</v>
      </c>
      <c r="B419" s="1" t="s">
        <v>13</v>
      </c>
      <c r="C419" s="1" t="s">
        <v>19</v>
      </c>
      <c r="D419" s="1" t="s">
        <v>11</v>
      </c>
      <c r="E419" s="1" t="s">
        <v>12</v>
      </c>
      <c r="F419" s="1">
        <v>74</v>
      </c>
      <c r="G419" s="1">
        <v>73</v>
      </c>
      <c r="H419" s="1">
        <v>67</v>
      </c>
    </row>
    <row r="420" spans="1:8" x14ac:dyDescent="0.3">
      <c r="A420" s="1" t="s">
        <v>17</v>
      </c>
      <c r="B420" s="1" t="s">
        <v>21</v>
      </c>
      <c r="C420" s="1" t="s">
        <v>14</v>
      </c>
      <c r="D420" s="1" t="s">
        <v>11</v>
      </c>
      <c r="E420" s="1" t="s">
        <v>12</v>
      </c>
      <c r="F420" s="1">
        <v>68</v>
      </c>
      <c r="G420" s="1">
        <v>59</v>
      </c>
      <c r="H420" s="1">
        <v>62</v>
      </c>
    </row>
    <row r="421" spans="1:8" x14ac:dyDescent="0.3">
      <c r="A421" s="1" t="s">
        <v>17</v>
      </c>
      <c r="B421" s="1" t="s">
        <v>24</v>
      </c>
      <c r="C421" s="1" t="s">
        <v>22</v>
      </c>
      <c r="D421" s="1" t="s">
        <v>20</v>
      </c>
      <c r="E421" s="1" t="s">
        <v>15</v>
      </c>
      <c r="F421" s="1">
        <v>57</v>
      </c>
      <c r="G421" s="1">
        <v>56</v>
      </c>
      <c r="H421" s="1">
        <v>54</v>
      </c>
    </row>
    <row r="422" spans="1:8" x14ac:dyDescent="0.3">
      <c r="A422" s="1" t="s">
        <v>8</v>
      </c>
      <c r="B422" s="1" t="s">
        <v>13</v>
      </c>
      <c r="C422" s="1" t="s">
        <v>19</v>
      </c>
      <c r="D422" s="1" t="s">
        <v>20</v>
      </c>
      <c r="E422" s="1" t="s">
        <v>15</v>
      </c>
      <c r="F422" s="1">
        <v>82</v>
      </c>
      <c r="G422" s="1">
        <v>93</v>
      </c>
      <c r="H422" s="1">
        <v>93</v>
      </c>
    </row>
    <row r="423" spans="1:8" x14ac:dyDescent="0.3">
      <c r="A423" s="1" t="s">
        <v>8</v>
      </c>
      <c r="B423" s="1" t="s">
        <v>21</v>
      </c>
      <c r="C423" s="1" t="s">
        <v>22</v>
      </c>
      <c r="D423" s="1" t="s">
        <v>11</v>
      </c>
      <c r="E423" s="1" t="s">
        <v>15</v>
      </c>
      <c r="F423" s="1">
        <v>57</v>
      </c>
      <c r="G423" s="1">
        <v>58</v>
      </c>
      <c r="H423" s="1">
        <v>64</v>
      </c>
    </row>
    <row r="424" spans="1:8" x14ac:dyDescent="0.3">
      <c r="A424" s="1" t="s">
        <v>8</v>
      </c>
      <c r="B424" s="1" t="s">
        <v>21</v>
      </c>
      <c r="C424" s="1" t="s">
        <v>16</v>
      </c>
      <c r="D424" s="1" t="s">
        <v>20</v>
      </c>
      <c r="E424" s="1" t="s">
        <v>15</v>
      </c>
      <c r="F424" s="1">
        <v>47</v>
      </c>
      <c r="G424" s="1">
        <v>58</v>
      </c>
      <c r="H424" s="1">
        <v>67</v>
      </c>
    </row>
    <row r="425" spans="1:8" x14ac:dyDescent="0.3">
      <c r="A425" s="1" t="s">
        <v>8</v>
      </c>
      <c r="B425" s="1" t="s">
        <v>18</v>
      </c>
      <c r="C425" s="1" t="s">
        <v>23</v>
      </c>
      <c r="D425" s="1" t="s">
        <v>11</v>
      </c>
      <c r="E425" s="1" t="s">
        <v>15</v>
      </c>
      <c r="F425" s="1">
        <v>59</v>
      </c>
      <c r="G425" s="1">
        <v>85</v>
      </c>
      <c r="H425" s="1">
        <v>80</v>
      </c>
    </row>
    <row r="426" spans="1:8" x14ac:dyDescent="0.3">
      <c r="A426" s="1" t="s">
        <v>17</v>
      </c>
      <c r="B426" s="1" t="s">
        <v>9</v>
      </c>
      <c r="C426" s="1" t="s">
        <v>14</v>
      </c>
      <c r="D426" s="1" t="s">
        <v>20</v>
      </c>
      <c r="E426" s="1" t="s">
        <v>12</v>
      </c>
      <c r="F426" s="1">
        <v>41</v>
      </c>
      <c r="G426" s="1">
        <v>39</v>
      </c>
      <c r="H426" s="1">
        <v>34</v>
      </c>
    </row>
    <row r="427" spans="1:8" x14ac:dyDescent="0.3">
      <c r="A427" s="1" t="s">
        <v>8</v>
      </c>
      <c r="B427" s="1" t="s">
        <v>13</v>
      </c>
      <c r="C427" s="1" t="s">
        <v>14</v>
      </c>
      <c r="D427" s="1" t="s">
        <v>20</v>
      </c>
      <c r="E427" s="1" t="s">
        <v>12</v>
      </c>
      <c r="F427" s="1">
        <v>62</v>
      </c>
      <c r="G427" s="1">
        <v>67</v>
      </c>
      <c r="H427" s="1">
        <v>62</v>
      </c>
    </row>
    <row r="428" spans="1:8" x14ac:dyDescent="0.3">
      <c r="A428" s="1" t="s">
        <v>17</v>
      </c>
      <c r="B428" s="1" t="s">
        <v>13</v>
      </c>
      <c r="C428" s="1" t="s">
        <v>10</v>
      </c>
      <c r="D428" s="1" t="s">
        <v>11</v>
      </c>
      <c r="E428" s="1" t="s">
        <v>12</v>
      </c>
      <c r="F428" s="1">
        <v>86</v>
      </c>
      <c r="G428" s="1">
        <v>83</v>
      </c>
      <c r="H428" s="1">
        <v>86</v>
      </c>
    </row>
    <row r="429" spans="1:8" x14ac:dyDescent="0.3">
      <c r="A429" s="1" t="s">
        <v>17</v>
      </c>
      <c r="B429" s="1" t="s">
        <v>13</v>
      </c>
      <c r="C429" s="1" t="s">
        <v>23</v>
      </c>
      <c r="D429" s="1" t="s">
        <v>20</v>
      </c>
      <c r="E429" s="1" t="s">
        <v>12</v>
      </c>
      <c r="F429" s="1">
        <v>69</v>
      </c>
      <c r="G429" s="1">
        <v>71</v>
      </c>
      <c r="H429" s="1">
        <v>65</v>
      </c>
    </row>
    <row r="430" spans="1:8" x14ac:dyDescent="0.3">
      <c r="A430" s="1" t="s">
        <v>17</v>
      </c>
      <c r="B430" s="1" t="s">
        <v>18</v>
      </c>
      <c r="C430" s="1" t="s">
        <v>23</v>
      </c>
      <c r="D430" s="1" t="s">
        <v>20</v>
      </c>
      <c r="E430" s="1" t="s">
        <v>12</v>
      </c>
      <c r="F430" s="1">
        <v>65</v>
      </c>
      <c r="G430" s="1">
        <v>59</v>
      </c>
      <c r="H430" s="1">
        <v>53</v>
      </c>
    </row>
    <row r="431" spans="1:8" x14ac:dyDescent="0.3">
      <c r="A431" s="1" t="s">
        <v>17</v>
      </c>
      <c r="B431" s="1" t="s">
        <v>13</v>
      </c>
      <c r="C431" s="1" t="s">
        <v>23</v>
      </c>
      <c r="D431" s="1" t="s">
        <v>20</v>
      </c>
      <c r="E431" s="1" t="s">
        <v>12</v>
      </c>
      <c r="F431" s="1">
        <v>68</v>
      </c>
      <c r="G431" s="1">
        <v>63</v>
      </c>
      <c r="H431" s="1">
        <v>54</v>
      </c>
    </row>
    <row r="432" spans="1:8" x14ac:dyDescent="0.3">
      <c r="A432" s="1" t="s">
        <v>17</v>
      </c>
      <c r="B432" s="1" t="s">
        <v>13</v>
      </c>
      <c r="C432" s="1" t="s">
        <v>19</v>
      </c>
      <c r="D432" s="1" t="s">
        <v>20</v>
      </c>
      <c r="E432" s="1" t="s">
        <v>12</v>
      </c>
      <c r="F432" s="1">
        <v>64</v>
      </c>
      <c r="G432" s="1">
        <v>66</v>
      </c>
      <c r="H432" s="1">
        <v>59</v>
      </c>
    </row>
    <row r="433" spans="1:8" x14ac:dyDescent="0.3">
      <c r="A433" s="1" t="s">
        <v>8</v>
      </c>
      <c r="B433" s="1" t="s">
        <v>13</v>
      </c>
      <c r="C433" s="1" t="s">
        <v>22</v>
      </c>
      <c r="D433" s="1" t="s">
        <v>11</v>
      </c>
      <c r="E433" s="1" t="s">
        <v>12</v>
      </c>
      <c r="F433" s="1">
        <v>61</v>
      </c>
      <c r="G433" s="1">
        <v>72</v>
      </c>
      <c r="H433" s="1">
        <v>70</v>
      </c>
    </row>
    <row r="434" spans="1:8" x14ac:dyDescent="0.3">
      <c r="A434" s="1" t="s">
        <v>17</v>
      </c>
      <c r="B434" s="1" t="s">
        <v>13</v>
      </c>
      <c r="C434" s="1" t="s">
        <v>22</v>
      </c>
      <c r="D434" s="1" t="s">
        <v>11</v>
      </c>
      <c r="E434" s="1" t="s">
        <v>12</v>
      </c>
      <c r="F434" s="1">
        <v>61</v>
      </c>
      <c r="G434" s="1">
        <v>56</v>
      </c>
      <c r="H434" s="1">
        <v>55</v>
      </c>
    </row>
    <row r="435" spans="1:8" x14ac:dyDescent="0.3">
      <c r="A435" s="1" t="s">
        <v>8</v>
      </c>
      <c r="B435" s="1" t="s">
        <v>18</v>
      </c>
      <c r="C435" s="1" t="s">
        <v>23</v>
      </c>
      <c r="D435" s="1" t="s">
        <v>20</v>
      </c>
      <c r="E435" s="1" t="s">
        <v>12</v>
      </c>
      <c r="F435" s="1">
        <v>47</v>
      </c>
      <c r="G435" s="1">
        <v>59</v>
      </c>
      <c r="H435" s="1">
        <v>50</v>
      </c>
    </row>
    <row r="436" spans="1:8" x14ac:dyDescent="0.3">
      <c r="A436" s="1" t="s">
        <v>17</v>
      </c>
      <c r="B436" s="1" t="s">
        <v>13</v>
      </c>
      <c r="C436" s="1" t="s">
        <v>23</v>
      </c>
      <c r="D436" s="1" t="s">
        <v>11</v>
      </c>
      <c r="E436" s="1" t="s">
        <v>12</v>
      </c>
      <c r="F436" s="1">
        <v>73</v>
      </c>
      <c r="G436" s="1">
        <v>66</v>
      </c>
      <c r="H436" s="1">
        <v>66</v>
      </c>
    </row>
    <row r="437" spans="1:8" x14ac:dyDescent="0.3">
      <c r="A437" s="1" t="s">
        <v>17</v>
      </c>
      <c r="B437" s="1" t="s">
        <v>13</v>
      </c>
      <c r="C437" s="1" t="s">
        <v>14</v>
      </c>
      <c r="D437" s="1" t="s">
        <v>20</v>
      </c>
      <c r="E437" s="1" t="s">
        <v>15</v>
      </c>
      <c r="F437" s="1">
        <v>50</v>
      </c>
      <c r="G437" s="1">
        <v>48</v>
      </c>
      <c r="H437" s="1">
        <v>53</v>
      </c>
    </row>
    <row r="438" spans="1:8" x14ac:dyDescent="0.3">
      <c r="A438" s="1" t="s">
        <v>17</v>
      </c>
      <c r="B438" s="1" t="s">
        <v>21</v>
      </c>
      <c r="C438" s="1" t="s">
        <v>19</v>
      </c>
      <c r="D438" s="1" t="s">
        <v>11</v>
      </c>
      <c r="E438" s="1" t="s">
        <v>12</v>
      </c>
      <c r="F438" s="1">
        <v>75</v>
      </c>
      <c r="G438" s="1">
        <v>68</v>
      </c>
      <c r="H438" s="1">
        <v>64</v>
      </c>
    </row>
    <row r="439" spans="1:8" x14ac:dyDescent="0.3">
      <c r="A439" s="1" t="s">
        <v>17</v>
      </c>
      <c r="B439" s="1" t="s">
        <v>21</v>
      </c>
      <c r="C439" s="1" t="s">
        <v>19</v>
      </c>
      <c r="D439" s="1" t="s">
        <v>20</v>
      </c>
      <c r="E439" s="1" t="s">
        <v>12</v>
      </c>
      <c r="F439" s="1">
        <v>75</v>
      </c>
      <c r="G439" s="1">
        <v>66</v>
      </c>
      <c r="H439" s="1">
        <v>73</v>
      </c>
    </row>
    <row r="440" spans="1:8" x14ac:dyDescent="0.3">
      <c r="A440" s="1" t="s">
        <v>17</v>
      </c>
      <c r="B440" s="1" t="s">
        <v>13</v>
      </c>
      <c r="C440" s="1" t="s">
        <v>22</v>
      </c>
      <c r="D440" s="1" t="s">
        <v>11</v>
      </c>
      <c r="E440" s="1" t="s">
        <v>12</v>
      </c>
      <c r="F440" s="1">
        <v>70</v>
      </c>
      <c r="G440" s="1">
        <v>56</v>
      </c>
      <c r="H440" s="1">
        <v>51</v>
      </c>
    </row>
    <row r="441" spans="1:8" x14ac:dyDescent="0.3">
      <c r="A441" s="1" t="s">
        <v>17</v>
      </c>
      <c r="B441" s="1" t="s">
        <v>21</v>
      </c>
      <c r="C441" s="1" t="s">
        <v>23</v>
      </c>
      <c r="D441" s="1" t="s">
        <v>11</v>
      </c>
      <c r="E441" s="1" t="s">
        <v>15</v>
      </c>
      <c r="F441" s="1">
        <v>89</v>
      </c>
      <c r="G441" s="1">
        <v>88</v>
      </c>
      <c r="H441" s="1">
        <v>82</v>
      </c>
    </row>
    <row r="442" spans="1:8" x14ac:dyDescent="0.3">
      <c r="A442" s="1" t="s">
        <v>8</v>
      </c>
      <c r="B442" s="1" t="s">
        <v>13</v>
      </c>
      <c r="C442" s="1" t="s">
        <v>14</v>
      </c>
      <c r="D442" s="1" t="s">
        <v>11</v>
      </c>
      <c r="E442" s="1" t="s">
        <v>15</v>
      </c>
      <c r="F442" s="1">
        <v>67</v>
      </c>
      <c r="G442" s="1">
        <v>81</v>
      </c>
      <c r="H442" s="1">
        <v>79</v>
      </c>
    </row>
    <row r="443" spans="1:8" x14ac:dyDescent="0.3">
      <c r="A443" s="1" t="s">
        <v>8</v>
      </c>
      <c r="B443" s="1" t="s">
        <v>21</v>
      </c>
      <c r="C443" s="1" t="s">
        <v>22</v>
      </c>
      <c r="D443" s="1" t="s">
        <v>11</v>
      </c>
      <c r="E443" s="1" t="s">
        <v>12</v>
      </c>
      <c r="F443" s="1">
        <v>78</v>
      </c>
      <c r="G443" s="1">
        <v>81</v>
      </c>
      <c r="H443" s="1">
        <v>80</v>
      </c>
    </row>
    <row r="444" spans="1:8" x14ac:dyDescent="0.3">
      <c r="A444" s="1" t="s">
        <v>8</v>
      </c>
      <c r="B444" s="1" t="s">
        <v>18</v>
      </c>
      <c r="C444" s="1" t="s">
        <v>23</v>
      </c>
      <c r="D444" s="1" t="s">
        <v>20</v>
      </c>
      <c r="E444" s="1" t="s">
        <v>12</v>
      </c>
      <c r="F444" s="1">
        <v>59</v>
      </c>
      <c r="G444" s="1">
        <v>73</v>
      </c>
      <c r="H444" s="1">
        <v>69</v>
      </c>
    </row>
    <row r="445" spans="1:8" x14ac:dyDescent="0.3">
      <c r="A445" s="1" t="s">
        <v>8</v>
      </c>
      <c r="B445" s="1" t="s">
        <v>9</v>
      </c>
      <c r="C445" s="1" t="s">
        <v>19</v>
      </c>
      <c r="D445" s="1" t="s">
        <v>11</v>
      </c>
      <c r="E445" s="1" t="s">
        <v>12</v>
      </c>
      <c r="F445" s="1">
        <v>73</v>
      </c>
      <c r="G445" s="1">
        <v>83</v>
      </c>
      <c r="H445" s="1">
        <v>76</v>
      </c>
    </row>
    <row r="446" spans="1:8" x14ac:dyDescent="0.3">
      <c r="A446" s="1" t="s">
        <v>17</v>
      </c>
      <c r="B446" s="1" t="s">
        <v>18</v>
      </c>
      <c r="C446" s="1" t="s">
        <v>23</v>
      </c>
      <c r="D446" s="1" t="s">
        <v>20</v>
      </c>
      <c r="E446" s="1" t="s">
        <v>12</v>
      </c>
      <c r="F446" s="1">
        <v>79</v>
      </c>
      <c r="G446" s="1">
        <v>82</v>
      </c>
      <c r="H446" s="1">
        <v>73</v>
      </c>
    </row>
    <row r="447" spans="1:8" x14ac:dyDescent="0.3">
      <c r="A447" s="1" t="s">
        <v>8</v>
      </c>
      <c r="B447" s="1" t="s">
        <v>13</v>
      </c>
      <c r="C447" s="1" t="s">
        <v>23</v>
      </c>
      <c r="D447" s="1" t="s">
        <v>11</v>
      </c>
      <c r="E447" s="1" t="s">
        <v>15</v>
      </c>
      <c r="F447" s="1">
        <v>67</v>
      </c>
      <c r="G447" s="1">
        <v>74</v>
      </c>
      <c r="H447" s="1">
        <v>77</v>
      </c>
    </row>
    <row r="448" spans="1:8" x14ac:dyDescent="0.3">
      <c r="A448" s="1" t="s">
        <v>17</v>
      </c>
      <c r="B448" s="1" t="s">
        <v>21</v>
      </c>
      <c r="C448" s="1" t="s">
        <v>14</v>
      </c>
      <c r="D448" s="1" t="s">
        <v>20</v>
      </c>
      <c r="E448" s="1" t="s">
        <v>12</v>
      </c>
      <c r="F448" s="1">
        <v>69</v>
      </c>
      <c r="G448" s="1">
        <v>66</v>
      </c>
      <c r="H448" s="1">
        <v>60</v>
      </c>
    </row>
    <row r="449" spans="1:8" x14ac:dyDescent="0.3">
      <c r="A449" s="1" t="s">
        <v>17</v>
      </c>
      <c r="B449" s="1" t="s">
        <v>13</v>
      </c>
      <c r="C449" s="1" t="s">
        <v>22</v>
      </c>
      <c r="D449" s="1" t="s">
        <v>11</v>
      </c>
      <c r="E449" s="1" t="s">
        <v>15</v>
      </c>
      <c r="F449" s="1">
        <v>86</v>
      </c>
      <c r="G449" s="1">
        <v>81</v>
      </c>
      <c r="H449" s="1">
        <v>80</v>
      </c>
    </row>
    <row r="450" spans="1:8" x14ac:dyDescent="0.3">
      <c r="A450" s="1" t="s">
        <v>17</v>
      </c>
      <c r="B450" s="1" t="s">
        <v>9</v>
      </c>
      <c r="C450" s="1" t="s">
        <v>22</v>
      </c>
      <c r="D450" s="1" t="s">
        <v>11</v>
      </c>
      <c r="E450" s="1" t="s">
        <v>12</v>
      </c>
      <c r="F450" s="1">
        <v>47</v>
      </c>
      <c r="G450" s="1">
        <v>46</v>
      </c>
      <c r="H450" s="1">
        <v>42</v>
      </c>
    </row>
    <row r="451" spans="1:8" x14ac:dyDescent="0.3">
      <c r="A451" s="1" t="s">
        <v>17</v>
      </c>
      <c r="B451" s="1" t="s">
        <v>9</v>
      </c>
      <c r="C451" s="1" t="s">
        <v>19</v>
      </c>
      <c r="D451" s="1" t="s">
        <v>11</v>
      </c>
      <c r="E451" s="1" t="s">
        <v>12</v>
      </c>
      <c r="F451" s="1">
        <v>81</v>
      </c>
      <c r="G451" s="1">
        <v>73</v>
      </c>
      <c r="H451" s="1">
        <v>72</v>
      </c>
    </row>
    <row r="452" spans="1:8" x14ac:dyDescent="0.3">
      <c r="A452" s="1" t="s">
        <v>8</v>
      </c>
      <c r="B452" s="1" t="s">
        <v>13</v>
      </c>
      <c r="C452" s="1" t="s">
        <v>14</v>
      </c>
      <c r="D452" s="1" t="s">
        <v>20</v>
      </c>
      <c r="E452" s="1" t="s">
        <v>15</v>
      </c>
      <c r="F452" s="1">
        <v>64</v>
      </c>
      <c r="G452" s="1">
        <v>85</v>
      </c>
      <c r="H452" s="1">
        <v>85</v>
      </c>
    </row>
    <row r="453" spans="1:8" x14ac:dyDescent="0.3">
      <c r="A453" s="1" t="s">
        <v>8</v>
      </c>
      <c r="B453" s="1" t="s">
        <v>24</v>
      </c>
      <c r="C453" s="1" t="s">
        <v>14</v>
      </c>
      <c r="D453" s="1" t="s">
        <v>11</v>
      </c>
      <c r="E453" s="1" t="s">
        <v>12</v>
      </c>
      <c r="F453" s="1">
        <v>100</v>
      </c>
      <c r="G453" s="1">
        <v>92</v>
      </c>
      <c r="H453" s="1">
        <v>97</v>
      </c>
    </row>
    <row r="454" spans="1:8" x14ac:dyDescent="0.3">
      <c r="A454" s="1" t="s">
        <v>8</v>
      </c>
      <c r="B454" s="1" t="s">
        <v>13</v>
      </c>
      <c r="C454" s="1" t="s">
        <v>19</v>
      </c>
      <c r="D454" s="1" t="s">
        <v>20</v>
      </c>
      <c r="E454" s="1" t="s">
        <v>12</v>
      </c>
      <c r="F454" s="1">
        <v>65</v>
      </c>
      <c r="G454" s="1">
        <v>77</v>
      </c>
      <c r="H454" s="1">
        <v>74</v>
      </c>
    </row>
    <row r="455" spans="1:8" x14ac:dyDescent="0.3">
      <c r="A455" s="1" t="s">
        <v>17</v>
      </c>
      <c r="B455" s="1" t="s">
        <v>13</v>
      </c>
      <c r="C455" s="1" t="s">
        <v>14</v>
      </c>
      <c r="D455" s="1" t="s">
        <v>20</v>
      </c>
      <c r="E455" s="1" t="s">
        <v>12</v>
      </c>
      <c r="F455" s="1">
        <v>65</v>
      </c>
      <c r="G455" s="1">
        <v>58</v>
      </c>
      <c r="H455" s="1">
        <v>49</v>
      </c>
    </row>
    <row r="456" spans="1:8" x14ac:dyDescent="0.3">
      <c r="A456" s="1" t="s">
        <v>8</v>
      </c>
      <c r="B456" s="1" t="s">
        <v>13</v>
      </c>
      <c r="C456" s="1" t="s">
        <v>19</v>
      </c>
      <c r="D456" s="1" t="s">
        <v>20</v>
      </c>
      <c r="E456" s="1" t="s">
        <v>12</v>
      </c>
      <c r="F456" s="1">
        <v>53</v>
      </c>
      <c r="G456" s="1">
        <v>61</v>
      </c>
      <c r="H456" s="1">
        <v>62</v>
      </c>
    </row>
    <row r="457" spans="1:8" x14ac:dyDescent="0.3">
      <c r="A457" s="1" t="s">
        <v>17</v>
      </c>
      <c r="B457" s="1" t="s">
        <v>13</v>
      </c>
      <c r="C457" s="1" t="s">
        <v>10</v>
      </c>
      <c r="D457" s="1" t="s">
        <v>20</v>
      </c>
      <c r="E457" s="1" t="s">
        <v>12</v>
      </c>
      <c r="F457" s="1">
        <v>37</v>
      </c>
      <c r="G457" s="1">
        <v>56</v>
      </c>
      <c r="H457" s="1">
        <v>47</v>
      </c>
    </row>
    <row r="458" spans="1:8" x14ac:dyDescent="0.3">
      <c r="A458" s="1" t="s">
        <v>8</v>
      </c>
      <c r="B458" s="1" t="s">
        <v>21</v>
      </c>
      <c r="C458" s="1" t="s">
        <v>10</v>
      </c>
      <c r="D458" s="1" t="s">
        <v>11</v>
      </c>
      <c r="E458" s="1" t="s">
        <v>12</v>
      </c>
      <c r="F458" s="1">
        <v>79</v>
      </c>
      <c r="G458" s="1">
        <v>89</v>
      </c>
      <c r="H458" s="1">
        <v>89</v>
      </c>
    </row>
    <row r="459" spans="1:8" x14ac:dyDescent="0.3">
      <c r="A459" s="1" t="s">
        <v>17</v>
      </c>
      <c r="B459" s="1" t="s">
        <v>21</v>
      </c>
      <c r="C459" s="1" t="s">
        <v>19</v>
      </c>
      <c r="D459" s="1" t="s">
        <v>20</v>
      </c>
      <c r="E459" s="1" t="s">
        <v>12</v>
      </c>
      <c r="F459" s="1">
        <v>53</v>
      </c>
      <c r="G459" s="1">
        <v>54</v>
      </c>
      <c r="H459" s="1">
        <v>48</v>
      </c>
    </row>
    <row r="460" spans="1:8" x14ac:dyDescent="0.3">
      <c r="A460" s="1" t="s">
        <v>8</v>
      </c>
      <c r="B460" s="1" t="s">
        <v>24</v>
      </c>
      <c r="C460" s="1" t="s">
        <v>10</v>
      </c>
      <c r="D460" s="1" t="s">
        <v>11</v>
      </c>
      <c r="E460" s="1" t="s">
        <v>12</v>
      </c>
      <c r="F460" s="1">
        <v>100</v>
      </c>
      <c r="G460" s="1">
        <v>100</v>
      </c>
      <c r="H460" s="1">
        <v>100</v>
      </c>
    </row>
    <row r="461" spans="1:8" x14ac:dyDescent="0.3">
      <c r="A461" s="1" t="s">
        <v>17</v>
      </c>
      <c r="B461" s="1" t="s">
        <v>9</v>
      </c>
      <c r="C461" s="1" t="s">
        <v>22</v>
      </c>
      <c r="D461" s="1" t="s">
        <v>11</v>
      </c>
      <c r="E461" s="1" t="s">
        <v>15</v>
      </c>
      <c r="F461" s="1">
        <v>72</v>
      </c>
      <c r="G461" s="1">
        <v>65</v>
      </c>
      <c r="H461" s="1">
        <v>68</v>
      </c>
    </row>
    <row r="462" spans="1:8" x14ac:dyDescent="0.3">
      <c r="A462" s="1" t="s">
        <v>17</v>
      </c>
      <c r="B462" s="1" t="s">
        <v>13</v>
      </c>
      <c r="C462" s="1" t="s">
        <v>10</v>
      </c>
      <c r="D462" s="1" t="s">
        <v>20</v>
      </c>
      <c r="E462" s="1" t="s">
        <v>12</v>
      </c>
      <c r="F462" s="1">
        <v>53</v>
      </c>
      <c r="G462" s="1">
        <v>58</v>
      </c>
      <c r="H462" s="1">
        <v>55</v>
      </c>
    </row>
    <row r="463" spans="1:8" x14ac:dyDescent="0.3">
      <c r="A463" s="1" t="s">
        <v>17</v>
      </c>
      <c r="B463" s="1" t="s">
        <v>9</v>
      </c>
      <c r="C463" s="1" t="s">
        <v>14</v>
      </c>
      <c r="D463" s="1" t="s">
        <v>20</v>
      </c>
      <c r="E463" s="1" t="s">
        <v>12</v>
      </c>
      <c r="F463" s="1">
        <v>54</v>
      </c>
      <c r="G463" s="1">
        <v>54</v>
      </c>
      <c r="H463" s="1">
        <v>45</v>
      </c>
    </row>
    <row r="464" spans="1:8" x14ac:dyDescent="0.3">
      <c r="A464" s="1" t="s">
        <v>8</v>
      </c>
      <c r="B464" s="1" t="s">
        <v>24</v>
      </c>
      <c r="C464" s="1" t="s">
        <v>14</v>
      </c>
      <c r="D464" s="1" t="s">
        <v>11</v>
      </c>
      <c r="E464" s="1" t="s">
        <v>12</v>
      </c>
      <c r="F464" s="1">
        <v>71</v>
      </c>
      <c r="G464" s="1">
        <v>70</v>
      </c>
      <c r="H464" s="1">
        <v>76</v>
      </c>
    </row>
    <row r="465" spans="1:8" x14ac:dyDescent="0.3">
      <c r="A465" s="1" t="s">
        <v>8</v>
      </c>
      <c r="B465" s="1" t="s">
        <v>13</v>
      </c>
      <c r="C465" s="1" t="s">
        <v>14</v>
      </c>
      <c r="D465" s="1" t="s">
        <v>20</v>
      </c>
      <c r="E465" s="1" t="s">
        <v>12</v>
      </c>
      <c r="F465" s="1">
        <v>77</v>
      </c>
      <c r="G465" s="1">
        <v>90</v>
      </c>
      <c r="H465" s="1">
        <v>91</v>
      </c>
    </row>
    <row r="466" spans="1:8" x14ac:dyDescent="0.3">
      <c r="A466" s="1" t="s">
        <v>17</v>
      </c>
      <c r="B466" s="1" t="s">
        <v>18</v>
      </c>
      <c r="C466" s="1" t="s">
        <v>10</v>
      </c>
      <c r="D466" s="1" t="s">
        <v>11</v>
      </c>
      <c r="E466" s="1" t="s">
        <v>15</v>
      </c>
      <c r="F466" s="1">
        <v>75</v>
      </c>
      <c r="G466" s="1">
        <v>58</v>
      </c>
      <c r="H466" s="1">
        <v>62</v>
      </c>
    </row>
    <row r="467" spans="1:8" x14ac:dyDescent="0.3">
      <c r="A467" s="1" t="s">
        <v>8</v>
      </c>
      <c r="B467" s="1" t="s">
        <v>13</v>
      </c>
      <c r="C467" s="1" t="s">
        <v>14</v>
      </c>
      <c r="D467" s="1" t="s">
        <v>11</v>
      </c>
      <c r="E467" s="1" t="s">
        <v>12</v>
      </c>
      <c r="F467" s="1">
        <v>84</v>
      </c>
      <c r="G467" s="1">
        <v>87</v>
      </c>
      <c r="H467" s="1">
        <v>91</v>
      </c>
    </row>
    <row r="468" spans="1:8" x14ac:dyDescent="0.3">
      <c r="A468" s="1" t="s">
        <v>8</v>
      </c>
      <c r="B468" s="1" t="s">
        <v>21</v>
      </c>
      <c r="C468" s="1" t="s">
        <v>19</v>
      </c>
      <c r="D468" s="1" t="s">
        <v>20</v>
      </c>
      <c r="E468" s="1" t="s">
        <v>12</v>
      </c>
      <c r="F468" s="1">
        <v>26</v>
      </c>
      <c r="G468" s="1">
        <v>31</v>
      </c>
      <c r="H468" s="1">
        <v>38</v>
      </c>
    </row>
    <row r="469" spans="1:8" x14ac:dyDescent="0.3">
      <c r="A469" s="1" t="s">
        <v>17</v>
      </c>
      <c r="B469" s="1" t="s">
        <v>18</v>
      </c>
      <c r="C469" s="1" t="s">
        <v>22</v>
      </c>
      <c r="D469" s="1" t="s">
        <v>20</v>
      </c>
      <c r="E469" s="1" t="s">
        <v>15</v>
      </c>
      <c r="F469" s="1">
        <v>72</v>
      </c>
      <c r="G469" s="1">
        <v>67</v>
      </c>
      <c r="H469" s="1">
        <v>65</v>
      </c>
    </row>
    <row r="470" spans="1:8" x14ac:dyDescent="0.3">
      <c r="A470" s="1" t="s">
        <v>8</v>
      </c>
      <c r="B470" s="1" t="s">
        <v>18</v>
      </c>
      <c r="C470" s="1" t="s">
        <v>22</v>
      </c>
      <c r="D470" s="1" t="s">
        <v>20</v>
      </c>
      <c r="E470" s="1" t="s">
        <v>15</v>
      </c>
      <c r="F470" s="1">
        <v>77</v>
      </c>
      <c r="G470" s="1">
        <v>88</v>
      </c>
      <c r="H470" s="1">
        <v>85</v>
      </c>
    </row>
    <row r="471" spans="1:8" x14ac:dyDescent="0.3">
      <c r="A471" s="1" t="s">
        <v>17</v>
      </c>
      <c r="B471" s="1" t="s">
        <v>13</v>
      </c>
      <c r="C471" s="1" t="s">
        <v>14</v>
      </c>
      <c r="D471" s="1" t="s">
        <v>11</v>
      </c>
      <c r="E471" s="1" t="s">
        <v>12</v>
      </c>
      <c r="F471" s="1">
        <v>91</v>
      </c>
      <c r="G471" s="1">
        <v>74</v>
      </c>
      <c r="H471" s="1">
        <v>76</v>
      </c>
    </row>
    <row r="472" spans="1:8" x14ac:dyDescent="0.3">
      <c r="A472" s="1" t="s">
        <v>8</v>
      </c>
      <c r="B472" s="1" t="s">
        <v>13</v>
      </c>
      <c r="C472" s="1" t="s">
        <v>19</v>
      </c>
      <c r="D472" s="1" t="s">
        <v>11</v>
      </c>
      <c r="E472" s="1" t="s">
        <v>15</v>
      </c>
      <c r="F472" s="1">
        <v>83</v>
      </c>
      <c r="G472" s="1">
        <v>85</v>
      </c>
      <c r="H472" s="1">
        <v>90</v>
      </c>
    </row>
    <row r="473" spans="1:8" x14ac:dyDescent="0.3">
      <c r="A473" s="1" t="s">
        <v>8</v>
      </c>
      <c r="B473" s="1" t="s">
        <v>13</v>
      </c>
      <c r="C473" s="1" t="s">
        <v>22</v>
      </c>
      <c r="D473" s="1" t="s">
        <v>11</v>
      </c>
      <c r="E473" s="1" t="s">
        <v>12</v>
      </c>
      <c r="F473" s="1">
        <v>63</v>
      </c>
      <c r="G473" s="1">
        <v>69</v>
      </c>
      <c r="H473" s="1">
        <v>74</v>
      </c>
    </row>
    <row r="474" spans="1:8" x14ac:dyDescent="0.3">
      <c r="A474" s="1" t="s">
        <v>8</v>
      </c>
      <c r="B474" s="1" t="s">
        <v>13</v>
      </c>
      <c r="C474" s="1" t="s">
        <v>19</v>
      </c>
      <c r="D474" s="1" t="s">
        <v>11</v>
      </c>
      <c r="E474" s="1" t="s">
        <v>15</v>
      </c>
      <c r="F474" s="1">
        <v>68</v>
      </c>
      <c r="G474" s="1">
        <v>86</v>
      </c>
      <c r="H474" s="1">
        <v>84</v>
      </c>
    </row>
    <row r="475" spans="1:8" x14ac:dyDescent="0.3">
      <c r="A475" s="1" t="s">
        <v>8</v>
      </c>
      <c r="B475" s="1" t="s">
        <v>21</v>
      </c>
      <c r="C475" s="1" t="s">
        <v>23</v>
      </c>
      <c r="D475" s="1" t="s">
        <v>11</v>
      </c>
      <c r="E475" s="1" t="s">
        <v>12</v>
      </c>
      <c r="F475" s="1">
        <v>59</v>
      </c>
      <c r="G475" s="1">
        <v>67</v>
      </c>
      <c r="H475" s="1">
        <v>61</v>
      </c>
    </row>
    <row r="476" spans="1:8" x14ac:dyDescent="0.3">
      <c r="A476" s="1" t="s">
        <v>8</v>
      </c>
      <c r="B476" s="1" t="s">
        <v>9</v>
      </c>
      <c r="C476" s="1" t="s">
        <v>19</v>
      </c>
      <c r="D476" s="1" t="s">
        <v>11</v>
      </c>
      <c r="E476" s="1" t="s">
        <v>15</v>
      </c>
      <c r="F476" s="1">
        <v>90</v>
      </c>
      <c r="G476" s="1">
        <v>90</v>
      </c>
      <c r="H476" s="1">
        <v>91</v>
      </c>
    </row>
    <row r="477" spans="1:8" x14ac:dyDescent="0.3">
      <c r="A477" s="1" t="s">
        <v>8</v>
      </c>
      <c r="B477" s="1" t="s">
        <v>21</v>
      </c>
      <c r="C477" s="1" t="s">
        <v>10</v>
      </c>
      <c r="D477" s="1" t="s">
        <v>11</v>
      </c>
      <c r="E477" s="1" t="s">
        <v>15</v>
      </c>
      <c r="F477" s="1">
        <v>71</v>
      </c>
      <c r="G477" s="1">
        <v>76</v>
      </c>
      <c r="H477" s="1">
        <v>83</v>
      </c>
    </row>
    <row r="478" spans="1:8" x14ac:dyDescent="0.3">
      <c r="A478" s="1" t="s">
        <v>17</v>
      </c>
      <c r="B478" s="1" t="s">
        <v>24</v>
      </c>
      <c r="C478" s="1" t="s">
        <v>10</v>
      </c>
      <c r="D478" s="1" t="s">
        <v>11</v>
      </c>
      <c r="E478" s="1" t="s">
        <v>15</v>
      </c>
      <c r="F478" s="1">
        <v>76</v>
      </c>
      <c r="G478" s="1">
        <v>62</v>
      </c>
      <c r="H478" s="1">
        <v>66</v>
      </c>
    </row>
    <row r="479" spans="1:8" x14ac:dyDescent="0.3">
      <c r="A479" s="1" t="s">
        <v>17</v>
      </c>
      <c r="B479" s="1" t="s">
        <v>21</v>
      </c>
      <c r="C479" s="1" t="s">
        <v>19</v>
      </c>
      <c r="D479" s="1" t="s">
        <v>11</v>
      </c>
      <c r="E479" s="1" t="s">
        <v>12</v>
      </c>
      <c r="F479" s="1">
        <v>80</v>
      </c>
      <c r="G479" s="1">
        <v>68</v>
      </c>
      <c r="H479" s="1">
        <v>72</v>
      </c>
    </row>
    <row r="480" spans="1:8" x14ac:dyDescent="0.3">
      <c r="A480" s="1" t="s">
        <v>8</v>
      </c>
      <c r="B480" s="1" t="s">
        <v>21</v>
      </c>
      <c r="C480" s="1" t="s">
        <v>16</v>
      </c>
      <c r="D480" s="1" t="s">
        <v>11</v>
      </c>
      <c r="E480" s="1" t="s">
        <v>12</v>
      </c>
      <c r="F480" s="1">
        <v>55</v>
      </c>
      <c r="G480" s="1">
        <v>64</v>
      </c>
      <c r="H480" s="1">
        <v>70</v>
      </c>
    </row>
    <row r="481" spans="1:8" x14ac:dyDescent="0.3">
      <c r="A481" s="1" t="s">
        <v>17</v>
      </c>
      <c r="B481" s="1" t="s">
        <v>24</v>
      </c>
      <c r="C481" s="1" t="s">
        <v>19</v>
      </c>
      <c r="D481" s="1" t="s">
        <v>11</v>
      </c>
      <c r="E481" s="1" t="s">
        <v>12</v>
      </c>
      <c r="F481" s="1">
        <v>76</v>
      </c>
      <c r="G481" s="1">
        <v>71</v>
      </c>
      <c r="H481" s="1">
        <v>67</v>
      </c>
    </row>
    <row r="482" spans="1:8" x14ac:dyDescent="0.3">
      <c r="A482" s="1" t="s">
        <v>17</v>
      </c>
      <c r="B482" s="1" t="s">
        <v>9</v>
      </c>
      <c r="C482" s="1" t="s">
        <v>22</v>
      </c>
      <c r="D482" s="1" t="s">
        <v>11</v>
      </c>
      <c r="E482" s="1" t="s">
        <v>15</v>
      </c>
      <c r="F482" s="1">
        <v>73</v>
      </c>
      <c r="G482" s="1">
        <v>71</v>
      </c>
      <c r="H482" s="1">
        <v>68</v>
      </c>
    </row>
    <row r="483" spans="1:8" x14ac:dyDescent="0.3">
      <c r="A483" s="1" t="s">
        <v>8</v>
      </c>
      <c r="B483" s="1" t="s">
        <v>21</v>
      </c>
      <c r="C483" s="1" t="s">
        <v>19</v>
      </c>
      <c r="D483" s="1" t="s">
        <v>20</v>
      </c>
      <c r="E483" s="1" t="s">
        <v>12</v>
      </c>
      <c r="F483" s="1">
        <v>52</v>
      </c>
      <c r="G483" s="1">
        <v>59</v>
      </c>
      <c r="H483" s="1">
        <v>56</v>
      </c>
    </row>
    <row r="484" spans="1:8" x14ac:dyDescent="0.3">
      <c r="A484" s="1" t="s">
        <v>17</v>
      </c>
      <c r="B484" s="1" t="s">
        <v>13</v>
      </c>
      <c r="C484" s="1" t="s">
        <v>14</v>
      </c>
      <c r="D484" s="1" t="s">
        <v>20</v>
      </c>
      <c r="E484" s="1" t="s">
        <v>12</v>
      </c>
      <c r="F484" s="1">
        <v>68</v>
      </c>
      <c r="G484" s="1">
        <v>68</v>
      </c>
      <c r="H484" s="1">
        <v>61</v>
      </c>
    </row>
    <row r="485" spans="1:8" x14ac:dyDescent="0.3">
      <c r="A485" s="1" t="s">
        <v>17</v>
      </c>
      <c r="B485" s="1" t="s">
        <v>18</v>
      </c>
      <c r="C485" s="1" t="s">
        <v>22</v>
      </c>
      <c r="D485" s="1" t="s">
        <v>11</v>
      </c>
      <c r="E485" s="1" t="s">
        <v>12</v>
      </c>
      <c r="F485" s="1">
        <v>59</v>
      </c>
      <c r="G485" s="1">
        <v>52</v>
      </c>
      <c r="H485" s="1">
        <v>46</v>
      </c>
    </row>
    <row r="486" spans="1:8" x14ac:dyDescent="0.3">
      <c r="A486" s="1" t="s">
        <v>8</v>
      </c>
      <c r="B486" s="1" t="s">
        <v>9</v>
      </c>
      <c r="C486" s="1" t="s">
        <v>19</v>
      </c>
      <c r="D486" s="1" t="s">
        <v>11</v>
      </c>
      <c r="E486" s="1" t="s">
        <v>12</v>
      </c>
      <c r="F486" s="1">
        <v>49</v>
      </c>
      <c r="G486" s="1">
        <v>52</v>
      </c>
      <c r="H486" s="1">
        <v>54</v>
      </c>
    </row>
    <row r="487" spans="1:8" x14ac:dyDescent="0.3">
      <c r="A487" s="1" t="s">
        <v>17</v>
      </c>
      <c r="B487" s="1" t="s">
        <v>13</v>
      </c>
      <c r="C487" s="1" t="s">
        <v>22</v>
      </c>
      <c r="D487" s="1" t="s">
        <v>11</v>
      </c>
      <c r="E487" s="1" t="s">
        <v>12</v>
      </c>
      <c r="F487" s="1">
        <v>70</v>
      </c>
      <c r="G487" s="1">
        <v>74</v>
      </c>
      <c r="H487" s="1">
        <v>71</v>
      </c>
    </row>
    <row r="488" spans="1:8" x14ac:dyDescent="0.3">
      <c r="A488" s="1" t="s">
        <v>17</v>
      </c>
      <c r="B488" s="1" t="s">
        <v>21</v>
      </c>
      <c r="C488" s="1" t="s">
        <v>14</v>
      </c>
      <c r="D488" s="1" t="s">
        <v>20</v>
      </c>
      <c r="E488" s="1" t="s">
        <v>12</v>
      </c>
      <c r="F488" s="1">
        <v>61</v>
      </c>
      <c r="G488" s="1">
        <v>47</v>
      </c>
      <c r="H488" s="1">
        <v>56</v>
      </c>
    </row>
    <row r="489" spans="1:8" x14ac:dyDescent="0.3">
      <c r="A489" s="1" t="s">
        <v>8</v>
      </c>
      <c r="B489" s="1" t="s">
        <v>13</v>
      </c>
      <c r="C489" s="1" t="s">
        <v>19</v>
      </c>
      <c r="D489" s="1" t="s">
        <v>20</v>
      </c>
      <c r="E489" s="1" t="s">
        <v>12</v>
      </c>
      <c r="F489" s="1">
        <v>60</v>
      </c>
      <c r="G489" s="1">
        <v>75</v>
      </c>
      <c r="H489" s="1">
        <v>74</v>
      </c>
    </row>
    <row r="490" spans="1:8" x14ac:dyDescent="0.3">
      <c r="A490" s="1" t="s">
        <v>17</v>
      </c>
      <c r="B490" s="1" t="s">
        <v>9</v>
      </c>
      <c r="C490" s="1" t="s">
        <v>23</v>
      </c>
      <c r="D490" s="1" t="s">
        <v>11</v>
      </c>
      <c r="E490" s="1" t="s">
        <v>15</v>
      </c>
      <c r="F490" s="1">
        <v>64</v>
      </c>
      <c r="G490" s="1">
        <v>53</v>
      </c>
      <c r="H490" s="1">
        <v>57</v>
      </c>
    </row>
    <row r="491" spans="1:8" x14ac:dyDescent="0.3">
      <c r="A491" s="1" t="s">
        <v>17</v>
      </c>
      <c r="B491" s="1" t="s">
        <v>18</v>
      </c>
      <c r="C491" s="1" t="s">
        <v>19</v>
      </c>
      <c r="D491" s="1" t="s">
        <v>20</v>
      </c>
      <c r="E491" s="1" t="s">
        <v>15</v>
      </c>
      <c r="F491" s="1">
        <v>79</v>
      </c>
      <c r="G491" s="1">
        <v>82</v>
      </c>
      <c r="H491" s="1">
        <v>82</v>
      </c>
    </row>
    <row r="492" spans="1:8" x14ac:dyDescent="0.3">
      <c r="A492" s="1" t="s">
        <v>8</v>
      </c>
      <c r="B492" s="1" t="s">
        <v>18</v>
      </c>
      <c r="C492" s="1" t="s">
        <v>19</v>
      </c>
      <c r="D492" s="1" t="s">
        <v>20</v>
      </c>
      <c r="E492" s="1" t="s">
        <v>12</v>
      </c>
      <c r="F492" s="1">
        <v>65</v>
      </c>
      <c r="G492" s="1">
        <v>85</v>
      </c>
      <c r="H492" s="1">
        <v>76</v>
      </c>
    </row>
    <row r="493" spans="1:8" x14ac:dyDescent="0.3">
      <c r="A493" s="1" t="s">
        <v>8</v>
      </c>
      <c r="B493" s="1" t="s">
        <v>13</v>
      </c>
      <c r="C493" s="1" t="s">
        <v>19</v>
      </c>
      <c r="D493" s="1" t="s">
        <v>11</v>
      </c>
      <c r="E493" s="1" t="s">
        <v>12</v>
      </c>
      <c r="F493" s="1">
        <v>64</v>
      </c>
      <c r="G493" s="1">
        <v>64</v>
      </c>
      <c r="H493" s="1">
        <v>70</v>
      </c>
    </row>
    <row r="494" spans="1:8" x14ac:dyDescent="0.3">
      <c r="A494" s="1" t="s">
        <v>8</v>
      </c>
      <c r="B494" s="1" t="s">
        <v>13</v>
      </c>
      <c r="C494" s="1" t="s">
        <v>14</v>
      </c>
      <c r="D494" s="1" t="s">
        <v>11</v>
      </c>
      <c r="E494" s="1" t="s">
        <v>12</v>
      </c>
      <c r="F494" s="1">
        <v>83</v>
      </c>
      <c r="G494" s="1">
        <v>83</v>
      </c>
      <c r="H494" s="1">
        <v>90</v>
      </c>
    </row>
    <row r="495" spans="1:8" x14ac:dyDescent="0.3">
      <c r="A495" s="1" t="s">
        <v>8</v>
      </c>
      <c r="B495" s="1" t="s">
        <v>13</v>
      </c>
      <c r="C495" s="1" t="s">
        <v>10</v>
      </c>
      <c r="D495" s="1" t="s">
        <v>11</v>
      </c>
      <c r="E495" s="1" t="s">
        <v>12</v>
      </c>
      <c r="F495" s="1">
        <v>81</v>
      </c>
      <c r="G495" s="1">
        <v>88</v>
      </c>
      <c r="H495" s="1">
        <v>90</v>
      </c>
    </row>
    <row r="496" spans="1:8" x14ac:dyDescent="0.3">
      <c r="A496" s="1" t="s">
        <v>8</v>
      </c>
      <c r="B496" s="1" t="s">
        <v>9</v>
      </c>
      <c r="C496" s="1" t="s">
        <v>22</v>
      </c>
      <c r="D496" s="1" t="s">
        <v>11</v>
      </c>
      <c r="E496" s="1" t="s">
        <v>12</v>
      </c>
      <c r="F496" s="1">
        <v>54</v>
      </c>
      <c r="G496" s="1">
        <v>64</v>
      </c>
      <c r="H496" s="1">
        <v>68</v>
      </c>
    </row>
    <row r="497" spans="1:8" x14ac:dyDescent="0.3">
      <c r="A497" s="1" t="s">
        <v>17</v>
      </c>
      <c r="B497" s="1" t="s">
        <v>21</v>
      </c>
      <c r="C497" s="1" t="s">
        <v>22</v>
      </c>
      <c r="D497" s="1" t="s">
        <v>11</v>
      </c>
      <c r="E497" s="1" t="s">
        <v>15</v>
      </c>
      <c r="F497" s="1">
        <v>68</v>
      </c>
      <c r="G497" s="1">
        <v>64</v>
      </c>
      <c r="H497" s="1">
        <v>66</v>
      </c>
    </row>
    <row r="498" spans="1:8" x14ac:dyDescent="0.3">
      <c r="A498" s="1" t="s">
        <v>8</v>
      </c>
      <c r="B498" s="1" t="s">
        <v>13</v>
      </c>
      <c r="C498" s="1" t="s">
        <v>14</v>
      </c>
      <c r="D498" s="1" t="s">
        <v>11</v>
      </c>
      <c r="E498" s="1" t="s">
        <v>12</v>
      </c>
      <c r="F498" s="1">
        <v>54</v>
      </c>
      <c r="G498" s="1">
        <v>48</v>
      </c>
      <c r="H498" s="1">
        <v>52</v>
      </c>
    </row>
    <row r="499" spans="1:8" x14ac:dyDescent="0.3">
      <c r="A499" s="1" t="s">
        <v>8</v>
      </c>
      <c r="B499" s="1" t="s">
        <v>21</v>
      </c>
      <c r="C499" s="1" t="s">
        <v>14</v>
      </c>
      <c r="D499" s="1" t="s">
        <v>20</v>
      </c>
      <c r="E499" s="1" t="s">
        <v>15</v>
      </c>
      <c r="F499" s="1">
        <v>59</v>
      </c>
      <c r="G499" s="1">
        <v>78</v>
      </c>
      <c r="H499" s="1">
        <v>76</v>
      </c>
    </row>
    <row r="500" spans="1:8" x14ac:dyDescent="0.3">
      <c r="A500" s="1" t="s">
        <v>8</v>
      </c>
      <c r="B500" s="1" t="s">
        <v>9</v>
      </c>
      <c r="C500" s="1" t="s">
        <v>23</v>
      </c>
      <c r="D500" s="1" t="s">
        <v>11</v>
      </c>
      <c r="E500" s="1" t="s">
        <v>12</v>
      </c>
      <c r="F500" s="1">
        <v>66</v>
      </c>
      <c r="G500" s="1">
        <v>69</v>
      </c>
      <c r="H500" s="1">
        <v>68</v>
      </c>
    </row>
    <row r="501" spans="1:8" x14ac:dyDescent="0.3">
      <c r="A501" s="1" t="s">
        <v>17</v>
      </c>
      <c r="B501" s="1" t="s">
        <v>24</v>
      </c>
      <c r="C501" s="1" t="s">
        <v>14</v>
      </c>
      <c r="D501" s="1" t="s">
        <v>11</v>
      </c>
      <c r="E501" s="1" t="s">
        <v>12</v>
      </c>
      <c r="F501" s="1">
        <v>76</v>
      </c>
      <c r="G501" s="1">
        <v>71</v>
      </c>
      <c r="H501" s="1">
        <v>72</v>
      </c>
    </row>
    <row r="502" spans="1:8" x14ac:dyDescent="0.3">
      <c r="A502" s="1" t="s">
        <v>8</v>
      </c>
      <c r="B502" s="1" t="s">
        <v>21</v>
      </c>
      <c r="C502" s="1" t="s">
        <v>16</v>
      </c>
      <c r="D502" s="1" t="s">
        <v>11</v>
      </c>
      <c r="E502" s="1" t="s">
        <v>12</v>
      </c>
      <c r="F502" s="1">
        <v>74</v>
      </c>
      <c r="G502" s="1">
        <v>79</v>
      </c>
      <c r="H502" s="1">
        <v>82</v>
      </c>
    </row>
    <row r="503" spans="1:8" x14ac:dyDescent="0.3">
      <c r="A503" s="1" t="s">
        <v>8</v>
      </c>
      <c r="B503" s="1" t="s">
        <v>9</v>
      </c>
      <c r="C503" s="1" t="s">
        <v>19</v>
      </c>
      <c r="D503" s="1" t="s">
        <v>11</v>
      </c>
      <c r="E503" s="1" t="s">
        <v>15</v>
      </c>
      <c r="F503" s="1">
        <v>94</v>
      </c>
      <c r="G503" s="1">
        <v>87</v>
      </c>
      <c r="H503" s="1">
        <v>92</v>
      </c>
    </row>
    <row r="504" spans="1:8" x14ac:dyDescent="0.3">
      <c r="A504" s="1" t="s">
        <v>17</v>
      </c>
      <c r="B504" s="1" t="s">
        <v>13</v>
      </c>
      <c r="C504" s="1" t="s">
        <v>14</v>
      </c>
      <c r="D504" s="1" t="s">
        <v>20</v>
      </c>
      <c r="E504" s="1" t="s">
        <v>12</v>
      </c>
      <c r="F504" s="1">
        <v>63</v>
      </c>
      <c r="G504" s="1">
        <v>61</v>
      </c>
      <c r="H504" s="1">
        <v>54</v>
      </c>
    </row>
    <row r="505" spans="1:8" x14ac:dyDescent="0.3">
      <c r="A505" s="1" t="s">
        <v>8</v>
      </c>
      <c r="B505" s="1" t="s">
        <v>24</v>
      </c>
      <c r="C505" s="1" t="s">
        <v>19</v>
      </c>
      <c r="D505" s="1" t="s">
        <v>11</v>
      </c>
      <c r="E505" s="1" t="s">
        <v>15</v>
      </c>
      <c r="F505" s="1">
        <v>95</v>
      </c>
      <c r="G505" s="1">
        <v>89</v>
      </c>
      <c r="H505" s="1">
        <v>92</v>
      </c>
    </row>
    <row r="506" spans="1:8" x14ac:dyDescent="0.3">
      <c r="A506" s="1" t="s">
        <v>8</v>
      </c>
      <c r="B506" s="1" t="s">
        <v>21</v>
      </c>
      <c r="C506" s="1" t="s">
        <v>16</v>
      </c>
      <c r="D506" s="1" t="s">
        <v>20</v>
      </c>
      <c r="E506" s="1" t="s">
        <v>12</v>
      </c>
      <c r="F506" s="1">
        <v>40</v>
      </c>
      <c r="G506" s="1">
        <v>59</v>
      </c>
      <c r="H506" s="1">
        <v>54</v>
      </c>
    </row>
    <row r="507" spans="1:8" x14ac:dyDescent="0.3">
      <c r="A507" s="1" t="s">
        <v>8</v>
      </c>
      <c r="B507" s="1" t="s">
        <v>9</v>
      </c>
      <c r="C507" s="1" t="s">
        <v>23</v>
      </c>
      <c r="D507" s="1" t="s">
        <v>11</v>
      </c>
      <c r="E507" s="1" t="s">
        <v>12</v>
      </c>
      <c r="F507" s="1">
        <v>82</v>
      </c>
      <c r="G507" s="1">
        <v>82</v>
      </c>
      <c r="H507" s="1">
        <v>80</v>
      </c>
    </row>
    <row r="508" spans="1:8" x14ac:dyDescent="0.3">
      <c r="A508" s="1" t="s">
        <v>17</v>
      </c>
      <c r="B508" s="1" t="s">
        <v>18</v>
      </c>
      <c r="C508" s="1" t="s">
        <v>22</v>
      </c>
      <c r="D508" s="1" t="s">
        <v>11</v>
      </c>
      <c r="E508" s="1" t="s">
        <v>12</v>
      </c>
      <c r="F508" s="1">
        <v>68</v>
      </c>
      <c r="G508" s="1">
        <v>70</v>
      </c>
      <c r="H508" s="1">
        <v>66</v>
      </c>
    </row>
    <row r="509" spans="1:8" x14ac:dyDescent="0.3">
      <c r="A509" s="1" t="s">
        <v>17</v>
      </c>
      <c r="B509" s="1" t="s">
        <v>9</v>
      </c>
      <c r="C509" s="1" t="s">
        <v>10</v>
      </c>
      <c r="D509" s="1" t="s">
        <v>20</v>
      </c>
      <c r="E509" s="1" t="s">
        <v>12</v>
      </c>
      <c r="F509" s="1">
        <v>55</v>
      </c>
      <c r="G509" s="1">
        <v>59</v>
      </c>
      <c r="H509" s="1">
        <v>54</v>
      </c>
    </row>
    <row r="510" spans="1:8" x14ac:dyDescent="0.3">
      <c r="A510" s="1" t="s">
        <v>17</v>
      </c>
      <c r="B510" s="1" t="s">
        <v>13</v>
      </c>
      <c r="C510" s="1" t="s">
        <v>16</v>
      </c>
      <c r="D510" s="1" t="s">
        <v>11</v>
      </c>
      <c r="E510" s="1" t="s">
        <v>12</v>
      </c>
      <c r="F510" s="1">
        <v>79</v>
      </c>
      <c r="G510" s="1">
        <v>78</v>
      </c>
      <c r="H510" s="1">
        <v>77</v>
      </c>
    </row>
    <row r="511" spans="1:8" x14ac:dyDescent="0.3">
      <c r="A511" s="1" t="s">
        <v>8</v>
      </c>
      <c r="B511" s="1" t="s">
        <v>13</v>
      </c>
      <c r="C511" s="1" t="s">
        <v>10</v>
      </c>
      <c r="D511" s="1" t="s">
        <v>11</v>
      </c>
      <c r="E511" s="1" t="s">
        <v>12</v>
      </c>
      <c r="F511" s="1">
        <v>86</v>
      </c>
      <c r="G511" s="1">
        <v>92</v>
      </c>
      <c r="H511" s="1">
        <v>87</v>
      </c>
    </row>
    <row r="512" spans="1:8" x14ac:dyDescent="0.3">
      <c r="A512" s="1" t="s">
        <v>17</v>
      </c>
      <c r="B512" s="1" t="s">
        <v>21</v>
      </c>
      <c r="C512" s="1" t="s">
        <v>14</v>
      </c>
      <c r="D512" s="1" t="s">
        <v>11</v>
      </c>
      <c r="E512" s="1" t="s">
        <v>12</v>
      </c>
      <c r="F512" s="1">
        <v>76</v>
      </c>
      <c r="G512" s="1">
        <v>71</v>
      </c>
      <c r="H512" s="1">
        <v>73</v>
      </c>
    </row>
    <row r="513" spans="1:8" x14ac:dyDescent="0.3">
      <c r="A513" s="1" t="s">
        <v>17</v>
      </c>
      <c r="B513" s="1" t="s">
        <v>18</v>
      </c>
      <c r="C513" s="1" t="s">
        <v>23</v>
      </c>
      <c r="D513" s="1" t="s">
        <v>11</v>
      </c>
      <c r="E513" s="1" t="s">
        <v>12</v>
      </c>
      <c r="F513" s="1">
        <v>64</v>
      </c>
      <c r="G513" s="1">
        <v>50</v>
      </c>
      <c r="H513" s="1">
        <v>43</v>
      </c>
    </row>
    <row r="514" spans="1:8" x14ac:dyDescent="0.3">
      <c r="A514" s="1" t="s">
        <v>17</v>
      </c>
      <c r="B514" s="1" t="s">
        <v>21</v>
      </c>
      <c r="C514" s="1" t="s">
        <v>23</v>
      </c>
      <c r="D514" s="1" t="s">
        <v>20</v>
      </c>
      <c r="E514" s="1" t="s">
        <v>12</v>
      </c>
      <c r="F514" s="1">
        <v>62</v>
      </c>
      <c r="G514" s="1">
        <v>49</v>
      </c>
      <c r="H514" s="1">
        <v>52</v>
      </c>
    </row>
    <row r="515" spans="1:8" x14ac:dyDescent="0.3">
      <c r="A515" s="1" t="s">
        <v>8</v>
      </c>
      <c r="B515" s="1" t="s">
        <v>9</v>
      </c>
      <c r="C515" s="1" t="s">
        <v>23</v>
      </c>
      <c r="D515" s="1" t="s">
        <v>11</v>
      </c>
      <c r="E515" s="1" t="s">
        <v>15</v>
      </c>
      <c r="F515" s="1">
        <v>54</v>
      </c>
      <c r="G515" s="1">
        <v>61</v>
      </c>
      <c r="H515" s="1">
        <v>62</v>
      </c>
    </row>
    <row r="516" spans="1:8" x14ac:dyDescent="0.3">
      <c r="A516" s="1" t="s">
        <v>8</v>
      </c>
      <c r="B516" s="1" t="s">
        <v>9</v>
      </c>
      <c r="C516" s="1" t="s">
        <v>16</v>
      </c>
      <c r="D516" s="1" t="s">
        <v>20</v>
      </c>
      <c r="E516" s="1" t="s">
        <v>15</v>
      </c>
      <c r="F516" s="1">
        <v>77</v>
      </c>
      <c r="G516" s="1">
        <v>97</v>
      </c>
      <c r="H516" s="1">
        <v>94</v>
      </c>
    </row>
    <row r="517" spans="1:8" x14ac:dyDescent="0.3">
      <c r="A517" s="1" t="s">
        <v>8</v>
      </c>
      <c r="B517" s="1" t="s">
        <v>13</v>
      </c>
      <c r="C517" s="1" t="s">
        <v>23</v>
      </c>
      <c r="D517" s="1" t="s">
        <v>11</v>
      </c>
      <c r="E517" s="1" t="s">
        <v>15</v>
      </c>
      <c r="F517" s="1">
        <v>76</v>
      </c>
      <c r="G517" s="1">
        <v>87</v>
      </c>
      <c r="H517" s="1">
        <v>85</v>
      </c>
    </row>
    <row r="518" spans="1:8" x14ac:dyDescent="0.3">
      <c r="A518" s="1" t="s">
        <v>8</v>
      </c>
      <c r="B518" s="1" t="s">
        <v>21</v>
      </c>
      <c r="C518" s="1" t="s">
        <v>14</v>
      </c>
      <c r="D518" s="1" t="s">
        <v>11</v>
      </c>
      <c r="E518" s="1" t="s">
        <v>12</v>
      </c>
      <c r="F518" s="1">
        <v>74</v>
      </c>
      <c r="G518" s="1">
        <v>89</v>
      </c>
      <c r="H518" s="1">
        <v>84</v>
      </c>
    </row>
    <row r="519" spans="1:8" x14ac:dyDescent="0.3">
      <c r="A519" s="1" t="s">
        <v>8</v>
      </c>
      <c r="B519" s="1" t="s">
        <v>24</v>
      </c>
      <c r="C519" s="1" t="s">
        <v>14</v>
      </c>
      <c r="D519" s="1" t="s">
        <v>11</v>
      </c>
      <c r="E519" s="1" t="s">
        <v>15</v>
      </c>
      <c r="F519" s="1">
        <v>66</v>
      </c>
      <c r="G519" s="1">
        <v>74</v>
      </c>
      <c r="H519" s="1">
        <v>73</v>
      </c>
    </row>
    <row r="520" spans="1:8" x14ac:dyDescent="0.3">
      <c r="A520" s="1" t="s">
        <v>8</v>
      </c>
      <c r="B520" s="1" t="s">
        <v>21</v>
      </c>
      <c r="C520" s="1" t="s">
        <v>23</v>
      </c>
      <c r="D520" s="1" t="s">
        <v>11</v>
      </c>
      <c r="E520" s="1" t="s">
        <v>15</v>
      </c>
      <c r="F520" s="1">
        <v>66</v>
      </c>
      <c r="G520" s="1">
        <v>78</v>
      </c>
      <c r="H520" s="1">
        <v>78</v>
      </c>
    </row>
    <row r="521" spans="1:8" x14ac:dyDescent="0.3">
      <c r="A521" s="1" t="s">
        <v>8</v>
      </c>
      <c r="B521" s="1" t="s">
        <v>9</v>
      </c>
      <c r="C521" s="1" t="s">
        <v>22</v>
      </c>
      <c r="D521" s="1" t="s">
        <v>20</v>
      </c>
      <c r="E521" s="1" t="s">
        <v>15</v>
      </c>
      <c r="F521" s="1">
        <v>67</v>
      </c>
      <c r="G521" s="1">
        <v>78</v>
      </c>
      <c r="H521" s="1">
        <v>79</v>
      </c>
    </row>
    <row r="522" spans="1:8" x14ac:dyDescent="0.3">
      <c r="A522" s="1" t="s">
        <v>17</v>
      </c>
      <c r="B522" s="1" t="s">
        <v>21</v>
      </c>
      <c r="C522" s="1" t="s">
        <v>14</v>
      </c>
      <c r="D522" s="1" t="s">
        <v>11</v>
      </c>
      <c r="E522" s="1" t="s">
        <v>12</v>
      </c>
      <c r="F522" s="1">
        <v>71</v>
      </c>
      <c r="G522" s="1">
        <v>49</v>
      </c>
      <c r="H522" s="1">
        <v>52</v>
      </c>
    </row>
    <row r="523" spans="1:8" x14ac:dyDescent="0.3">
      <c r="A523" s="1" t="s">
        <v>8</v>
      </c>
      <c r="B523" s="1" t="s">
        <v>13</v>
      </c>
      <c r="C523" s="1" t="s">
        <v>19</v>
      </c>
      <c r="D523" s="1" t="s">
        <v>11</v>
      </c>
      <c r="E523" s="1" t="s">
        <v>12</v>
      </c>
      <c r="F523" s="1">
        <v>91</v>
      </c>
      <c r="G523" s="1">
        <v>86</v>
      </c>
      <c r="H523" s="1">
        <v>84</v>
      </c>
    </row>
    <row r="524" spans="1:8" x14ac:dyDescent="0.3">
      <c r="A524" s="1" t="s">
        <v>17</v>
      </c>
      <c r="B524" s="1" t="s">
        <v>21</v>
      </c>
      <c r="C524" s="1" t="s">
        <v>10</v>
      </c>
      <c r="D524" s="1" t="s">
        <v>11</v>
      </c>
      <c r="E524" s="1" t="s">
        <v>12</v>
      </c>
      <c r="F524" s="1">
        <v>69</v>
      </c>
      <c r="G524" s="1">
        <v>58</v>
      </c>
      <c r="H524" s="1">
        <v>57</v>
      </c>
    </row>
    <row r="525" spans="1:8" x14ac:dyDescent="0.3">
      <c r="A525" s="1" t="s">
        <v>17</v>
      </c>
      <c r="B525" s="1" t="s">
        <v>13</v>
      </c>
      <c r="C525" s="1" t="s">
        <v>16</v>
      </c>
      <c r="D525" s="1" t="s">
        <v>20</v>
      </c>
      <c r="E525" s="1" t="s">
        <v>12</v>
      </c>
      <c r="F525" s="1">
        <v>54</v>
      </c>
      <c r="G525" s="1">
        <v>59</v>
      </c>
      <c r="H525" s="1">
        <v>50</v>
      </c>
    </row>
    <row r="526" spans="1:8" x14ac:dyDescent="0.3">
      <c r="A526" s="1" t="s">
        <v>17</v>
      </c>
      <c r="B526" s="1" t="s">
        <v>13</v>
      </c>
      <c r="C526" s="1" t="s">
        <v>22</v>
      </c>
      <c r="D526" s="1" t="s">
        <v>11</v>
      </c>
      <c r="E526" s="1" t="s">
        <v>15</v>
      </c>
      <c r="F526" s="1">
        <v>53</v>
      </c>
      <c r="G526" s="1">
        <v>52</v>
      </c>
      <c r="H526" s="1">
        <v>49</v>
      </c>
    </row>
    <row r="527" spans="1:8" x14ac:dyDescent="0.3">
      <c r="A527" s="1" t="s">
        <v>17</v>
      </c>
      <c r="B527" s="1" t="s">
        <v>24</v>
      </c>
      <c r="C527" s="1" t="s">
        <v>14</v>
      </c>
      <c r="D527" s="1" t="s">
        <v>11</v>
      </c>
      <c r="E527" s="1" t="s">
        <v>12</v>
      </c>
      <c r="F527" s="1">
        <v>68</v>
      </c>
      <c r="G527" s="1">
        <v>60</v>
      </c>
      <c r="H527" s="1">
        <v>59</v>
      </c>
    </row>
    <row r="528" spans="1:8" x14ac:dyDescent="0.3">
      <c r="A528" s="1" t="s">
        <v>17</v>
      </c>
      <c r="B528" s="1" t="s">
        <v>13</v>
      </c>
      <c r="C528" s="1" t="s">
        <v>23</v>
      </c>
      <c r="D528" s="1" t="s">
        <v>20</v>
      </c>
      <c r="E528" s="1" t="s">
        <v>15</v>
      </c>
      <c r="F528" s="1">
        <v>56</v>
      </c>
      <c r="G528" s="1">
        <v>61</v>
      </c>
      <c r="H528" s="1">
        <v>60</v>
      </c>
    </row>
    <row r="529" spans="1:8" x14ac:dyDescent="0.3">
      <c r="A529" s="1" t="s">
        <v>8</v>
      </c>
      <c r="B529" s="1" t="s">
        <v>13</v>
      </c>
      <c r="C529" s="1" t="s">
        <v>22</v>
      </c>
      <c r="D529" s="1" t="s">
        <v>20</v>
      </c>
      <c r="E529" s="1" t="s">
        <v>12</v>
      </c>
      <c r="F529" s="1">
        <v>36</v>
      </c>
      <c r="G529" s="1">
        <v>53</v>
      </c>
      <c r="H529" s="1">
        <v>43</v>
      </c>
    </row>
    <row r="530" spans="1:8" x14ac:dyDescent="0.3">
      <c r="A530" s="1" t="s">
        <v>8</v>
      </c>
      <c r="B530" s="1" t="s">
        <v>21</v>
      </c>
      <c r="C530" s="1" t="s">
        <v>10</v>
      </c>
      <c r="D530" s="1" t="s">
        <v>20</v>
      </c>
      <c r="E530" s="1" t="s">
        <v>12</v>
      </c>
      <c r="F530" s="1">
        <v>29</v>
      </c>
      <c r="G530" s="1">
        <v>41</v>
      </c>
      <c r="H530" s="1">
        <v>47</v>
      </c>
    </row>
    <row r="531" spans="1:8" x14ac:dyDescent="0.3">
      <c r="A531" s="1" t="s">
        <v>8</v>
      </c>
      <c r="B531" s="1" t="s">
        <v>13</v>
      </c>
      <c r="C531" s="1" t="s">
        <v>19</v>
      </c>
      <c r="D531" s="1" t="s">
        <v>11</v>
      </c>
      <c r="E531" s="1" t="s">
        <v>12</v>
      </c>
      <c r="F531" s="1">
        <v>62</v>
      </c>
      <c r="G531" s="1">
        <v>74</v>
      </c>
      <c r="H531" s="1">
        <v>70</v>
      </c>
    </row>
    <row r="532" spans="1:8" x14ac:dyDescent="0.3">
      <c r="A532" s="1" t="s">
        <v>8</v>
      </c>
      <c r="B532" s="1" t="s">
        <v>13</v>
      </c>
      <c r="C532" s="1" t="s">
        <v>19</v>
      </c>
      <c r="D532" s="1" t="s">
        <v>11</v>
      </c>
      <c r="E532" s="1" t="s">
        <v>15</v>
      </c>
      <c r="F532" s="1">
        <v>68</v>
      </c>
      <c r="G532" s="1">
        <v>67</v>
      </c>
      <c r="H532" s="1">
        <v>73</v>
      </c>
    </row>
    <row r="533" spans="1:8" x14ac:dyDescent="0.3">
      <c r="A533" s="1" t="s">
        <v>8</v>
      </c>
      <c r="B533" s="1" t="s">
        <v>13</v>
      </c>
      <c r="C533" s="1" t="s">
        <v>23</v>
      </c>
      <c r="D533" s="1" t="s">
        <v>11</v>
      </c>
      <c r="E533" s="1" t="s">
        <v>12</v>
      </c>
      <c r="F533" s="1">
        <v>47</v>
      </c>
      <c r="G533" s="1">
        <v>54</v>
      </c>
      <c r="H533" s="1">
        <v>53</v>
      </c>
    </row>
    <row r="534" spans="1:8" x14ac:dyDescent="0.3">
      <c r="A534" s="1" t="s">
        <v>17</v>
      </c>
      <c r="B534" s="1" t="s">
        <v>24</v>
      </c>
      <c r="C534" s="1" t="s">
        <v>19</v>
      </c>
      <c r="D534" s="1" t="s">
        <v>11</v>
      </c>
      <c r="E534" s="1" t="s">
        <v>15</v>
      </c>
      <c r="F534" s="1">
        <v>62</v>
      </c>
      <c r="G534" s="1">
        <v>61</v>
      </c>
      <c r="H534" s="1">
        <v>58</v>
      </c>
    </row>
    <row r="535" spans="1:8" x14ac:dyDescent="0.3">
      <c r="A535" s="1" t="s">
        <v>8</v>
      </c>
      <c r="B535" s="1" t="s">
        <v>24</v>
      </c>
      <c r="C535" s="1" t="s">
        <v>19</v>
      </c>
      <c r="D535" s="1" t="s">
        <v>11</v>
      </c>
      <c r="E535" s="1" t="s">
        <v>15</v>
      </c>
      <c r="F535" s="1">
        <v>79</v>
      </c>
      <c r="G535" s="1">
        <v>88</v>
      </c>
      <c r="H535" s="1">
        <v>94</v>
      </c>
    </row>
    <row r="536" spans="1:8" x14ac:dyDescent="0.3">
      <c r="A536" s="1" t="s">
        <v>17</v>
      </c>
      <c r="B536" s="1" t="s">
        <v>9</v>
      </c>
      <c r="C536" s="1" t="s">
        <v>22</v>
      </c>
      <c r="D536" s="1" t="s">
        <v>11</v>
      </c>
      <c r="E536" s="1" t="s">
        <v>15</v>
      </c>
      <c r="F536" s="1">
        <v>73</v>
      </c>
      <c r="G536" s="1">
        <v>69</v>
      </c>
      <c r="H536" s="1">
        <v>68</v>
      </c>
    </row>
    <row r="537" spans="1:8" x14ac:dyDescent="0.3">
      <c r="A537" s="1" t="s">
        <v>8</v>
      </c>
      <c r="B537" s="1" t="s">
        <v>13</v>
      </c>
      <c r="C537" s="1" t="s">
        <v>10</v>
      </c>
      <c r="D537" s="1" t="s">
        <v>20</v>
      </c>
      <c r="E537" s="1" t="s">
        <v>15</v>
      </c>
      <c r="F537" s="1">
        <v>66</v>
      </c>
      <c r="G537" s="1">
        <v>83</v>
      </c>
      <c r="H537" s="1">
        <v>83</v>
      </c>
    </row>
    <row r="538" spans="1:8" x14ac:dyDescent="0.3">
      <c r="A538" s="1" t="s">
        <v>17</v>
      </c>
      <c r="B538" s="1" t="s">
        <v>13</v>
      </c>
      <c r="C538" s="1" t="s">
        <v>19</v>
      </c>
      <c r="D538" s="1" t="s">
        <v>11</v>
      </c>
      <c r="E538" s="1" t="s">
        <v>15</v>
      </c>
      <c r="F538" s="1">
        <v>51</v>
      </c>
      <c r="G538" s="1">
        <v>60</v>
      </c>
      <c r="H538" s="1">
        <v>58</v>
      </c>
    </row>
    <row r="539" spans="1:8" x14ac:dyDescent="0.3">
      <c r="A539" s="1" t="s">
        <v>8</v>
      </c>
      <c r="B539" s="1" t="s">
        <v>21</v>
      </c>
      <c r="C539" s="1" t="s">
        <v>22</v>
      </c>
      <c r="D539" s="1" t="s">
        <v>11</v>
      </c>
      <c r="E539" s="1" t="s">
        <v>12</v>
      </c>
      <c r="F539" s="1">
        <v>51</v>
      </c>
      <c r="G539" s="1">
        <v>66</v>
      </c>
      <c r="H539" s="1">
        <v>62</v>
      </c>
    </row>
    <row r="540" spans="1:8" x14ac:dyDescent="0.3">
      <c r="A540" s="1" t="s">
        <v>17</v>
      </c>
      <c r="B540" s="1" t="s">
        <v>24</v>
      </c>
      <c r="C540" s="1" t="s">
        <v>10</v>
      </c>
      <c r="D540" s="1" t="s">
        <v>11</v>
      </c>
      <c r="E540" s="1" t="s">
        <v>15</v>
      </c>
      <c r="F540" s="1">
        <v>85</v>
      </c>
      <c r="G540" s="1">
        <v>66</v>
      </c>
      <c r="H540" s="1">
        <v>71</v>
      </c>
    </row>
    <row r="541" spans="1:8" x14ac:dyDescent="0.3">
      <c r="A541" s="1" t="s">
        <v>17</v>
      </c>
      <c r="B541" s="1" t="s">
        <v>18</v>
      </c>
      <c r="C541" s="1" t="s">
        <v>19</v>
      </c>
      <c r="D541" s="1" t="s">
        <v>11</v>
      </c>
      <c r="E541" s="1" t="s">
        <v>15</v>
      </c>
      <c r="F541" s="1">
        <v>97</v>
      </c>
      <c r="G541" s="1">
        <v>92</v>
      </c>
      <c r="H541" s="1">
        <v>86</v>
      </c>
    </row>
    <row r="542" spans="1:8" x14ac:dyDescent="0.3">
      <c r="A542" s="1" t="s">
        <v>17</v>
      </c>
      <c r="B542" s="1" t="s">
        <v>13</v>
      </c>
      <c r="C542" s="1" t="s">
        <v>22</v>
      </c>
      <c r="D542" s="1" t="s">
        <v>11</v>
      </c>
      <c r="E542" s="1" t="s">
        <v>15</v>
      </c>
      <c r="F542" s="1">
        <v>75</v>
      </c>
      <c r="G542" s="1">
        <v>69</v>
      </c>
      <c r="H542" s="1">
        <v>68</v>
      </c>
    </row>
    <row r="543" spans="1:8" x14ac:dyDescent="0.3">
      <c r="A543" s="1" t="s">
        <v>17</v>
      </c>
      <c r="B543" s="1" t="s">
        <v>21</v>
      </c>
      <c r="C543" s="1" t="s">
        <v>19</v>
      </c>
      <c r="D543" s="1" t="s">
        <v>20</v>
      </c>
      <c r="E543" s="1" t="s">
        <v>15</v>
      </c>
      <c r="F543" s="1">
        <v>79</v>
      </c>
      <c r="G543" s="1">
        <v>82</v>
      </c>
      <c r="H543" s="1">
        <v>80</v>
      </c>
    </row>
    <row r="544" spans="1:8" x14ac:dyDescent="0.3">
      <c r="A544" s="1" t="s">
        <v>8</v>
      </c>
      <c r="B544" s="1" t="s">
        <v>13</v>
      </c>
      <c r="C544" s="1" t="s">
        <v>19</v>
      </c>
      <c r="D544" s="1" t="s">
        <v>11</v>
      </c>
      <c r="E544" s="1" t="s">
        <v>12</v>
      </c>
      <c r="F544" s="1">
        <v>81</v>
      </c>
      <c r="G544" s="1">
        <v>77</v>
      </c>
      <c r="H544" s="1">
        <v>79</v>
      </c>
    </row>
    <row r="545" spans="1:8" x14ac:dyDescent="0.3">
      <c r="A545" s="1" t="s">
        <v>8</v>
      </c>
      <c r="B545" s="1" t="s">
        <v>21</v>
      </c>
      <c r="C545" s="1" t="s">
        <v>19</v>
      </c>
      <c r="D545" s="1" t="s">
        <v>11</v>
      </c>
      <c r="E545" s="1" t="s">
        <v>12</v>
      </c>
      <c r="F545" s="1">
        <v>82</v>
      </c>
      <c r="G545" s="1">
        <v>95</v>
      </c>
      <c r="H545" s="1">
        <v>89</v>
      </c>
    </row>
    <row r="546" spans="1:8" x14ac:dyDescent="0.3">
      <c r="A546" s="1" t="s">
        <v>8</v>
      </c>
      <c r="B546" s="1" t="s">
        <v>21</v>
      </c>
      <c r="C546" s="1" t="s">
        <v>16</v>
      </c>
      <c r="D546" s="1" t="s">
        <v>11</v>
      </c>
      <c r="E546" s="1" t="s">
        <v>12</v>
      </c>
      <c r="F546" s="1">
        <v>64</v>
      </c>
      <c r="G546" s="1">
        <v>63</v>
      </c>
      <c r="H546" s="1">
        <v>66</v>
      </c>
    </row>
    <row r="547" spans="1:8" x14ac:dyDescent="0.3">
      <c r="A547" s="1" t="s">
        <v>17</v>
      </c>
      <c r="B547" s="1" t="s">
        <v>24</v>
      </c>
      <c r="C547" s="1" t="s">
        <v>23</v>
      </c>
      <c r="D547" s="1" t="s">
        <v>20</v>
      </c>
      <c r="E547" s="1" t="s">
        <v>15</v>
      </c>
      <c r="F547" s="1">
        <v>78</v>
      </c>
      <c r="G547" s="1">
        <v>83</v>
      </c>
      <c r="H547" s="1">
        <v>80</v>
      </c>
    </row>
    <row r="548" spans="1:8" x14ac:dyDescent="0.3">
      <c r="A548" s="1" t="s">
        <v>8</v>
      </c>
      <c r="B548" s="1" t="s">
        <v>18</v>
      </c>
      <c r="C548" s="1" t="s">
        <v>23</v>
      </c>
      <c r="D548" s="1" t="s">
        <v>11</v>
      </c>
      <c r="E548" s="1" t="s">
        <v>15</v>
      </c>
      <c r="F548" s="1">
        <v>92</v>
      </c>
      <c r="G548" s="1">
        <v>100</v>
      </c>
      <c r="H548" s="1">
        <v>97</v>
      </c>
    </row>
    <row r="549" spans="1:8" x14ac:dyDescent="0.3">
      <c r="A549" s="1" t="s">
        <v>17</v>
      </c>
      <c r="B549" s="1" t="s">
        <v>13</v>
      </c>
      <c r="C549" s="1" t="s">
        <v>22</v>
      </c>
      <c r="D549" s="1" t="s">
        <v>11</v>
      </c>
      <c r="E549" s="1" t="s">
        <v>15</v>
      </c>
      <c r="F549" s="1">
        <v>72</v>
      </c>
      <c r="G549" s="1">
        <v>67</v>
      </c>
      <c r="H549" s="1">
        <v>64</v>
      </c>
    </row>
    <row r="550" spans="1:8" x14ac:dyDescent="0.3">
      <c r="A550" s="1" t="s">
        <v>8</v>
      </c>
      <c r="B550" s="1" t="s">
        <v>13</v>
      </c>
      <c r="C550" s="1" t="s">
        <v>22</v>
      </c>
      <c r="D550" s="1" t="s">
        <v>20</v>
      </c>
      <c r="E550" s="1" t="s">
        <v>12</v>
      </c>
      <c r="F550" s="1">
        <v>62</v>
      </c>
      <c r="G550" s="1">
        <v>67</v>
      </c>
      <c r="H550" s="1">
        <v>64</v>
      </c>
    </row>
    <row r="551" spans="1:8" x14ac:dyDescent="0.3">
      <c r="A551" s="1" t="s">
        <v>17</v>
      </c>
      <c r="B551" s="1" t="s">
        <v>13</v>
      </c>
      <c r="C551" s="1" t="s">
        <v>16</v>
      </c>
      <c r="D551" s="1" t="s">
        <v>11</v>
      </c>
      <c r="E551" s="1" t="s">
        <v>12</v>
      </c>
      <c r="F551" s="1">
        <v>79</v>
      </c>
      <c r="G551" s="1">
        <v>72</v>
      </c>
      <c r="H551" s="1">
        <v>69</v>
      </c>
    </row>
    <row r="552" spans="1:8" x14ac:dyDescent="0.3">
      <c r="A552" s="1" t="s">
        <v>17</v>
      </c>
      <c r="B552" s="1" t="s">
        <v>13</v>
      </c>
      <c r="C552" s="1" t="s">
        <v>23</v>
      </c>
      <c r="D552" s="1" t="s">
        <v>20</v>
      </c>
      <c r="E552" s="1" t="s">
        <v>12</v>
      </c>
      <c r="F552" s="1">
        <v>79</v>
      </c>
      <c r="G552" s="1">
        <v>76</v>
      </c>
      <c r="H552" s="1">
        <v>65</v>
      </c>
    </row>
    <row r="553" spans="1:8" x14ac:dyDescent="0.3">
      <c r="A553" s="1" t="s">
        <v>17</v>
      </c>
      <c r="B553" s="1" t="s">
        <v>9</v>
      </c>
      <c r="C553" s="1" t="s">
        <v>10</v>
      </c>
      <c r="D553" s="1" t="s">
        <v>20</v>
      </c>
      <c r="E553" s="1" t="s">
        <v>15</v>
      </c>
      <c r="F553" s="1">
        <v>87</v>
      </c>
      <c r="G553" s="1">
        <v>90</v>
      </c>
      <c r="H553" s="1">
        <v>88</v>
      </c>
    </row>
    <row r="554" spans="1:8" x14ac:dyDescent="0.3">
      <c r="A554" s="1" t="s">
        <v>8</v>
      </c>
      <c r="B554" s="1" t="s">
        <v>9</v>
      </c>
      <c r="C554" s="1" t="s">
        <v>19</v>
      </c>
      <c r="D554" s="1" t="s">
        <v>11</v>
      </c>
      <c r="E554" s="1" t="s">
        <v>12</v>
      </c>
      <c r="F554" s="1">
        <v>40</v>
      </c>
      <c r="G554" s="1">
        <v>48</v>
      </c>
      <c r="H554" s="1">
        <v>50</v>
      </c>
    </row>
    <row r="555" spans="1:8" x14ac:dyDescent="0.3">
      <c r="A555" s="1" t="s">
        <v>17</v>
      </c>
      <c r="B555" s="1" t="s">
        <v>21</v>
      </c>
      <c r="C555" s="1" t="s">
        <v>14</v>
      </c>
      <c r="D555" s="1" t="s">
        <v>20</v>
      </c>
      <c r="E555" s="1" t="s">
        <v>12</v>
      </c>
      <c r="F555" s="1">
        <v>77</v>
      </c>
      <c r="G555" s="1">
        <v>62</v>
      </c>
      <c r="H555" s="1">
        <v>64</v>
      </c>
    </row>
    <row r="556" spans="1:8" x14ac:dyDescent="0.3">
      <c r="A556" s="1" t="s">
        <v>17</v>
      </c>
      <c r="B556" s="1" t="s">
        <v>24</v>
      </c>
      <c r="C556" s="1" t="s">
        <v>19</v>
      </c>
      <c r="D556" s="1" t="s">
        <v>11</v>
      </c>
      <c r="E556" s="1" t="s">
        <v>12</v>
      </c>
      <c r="F556" s="1">
        <v>53</v>
      </c>
      <c r="G556" s="1">
        <v>45</v>
      </c>
      <c r="H556" s="1">
        <v>40</v>
      </c>
    </row>
    <row r="557" spans="1:8" x14ac:dyDescent="0.3">
      <c r="A557" s="1" t="s">
        <v>8</v>
      </c>
      <c r="B557" s="1" t="s">
        <v>13</v>
      </c>
      <c r="C557" s="1" t="s">
        <v>14</v>
      </c>
      <c r="D557" s="1" t="s">
        <v>20</v>
      </c>
      <c r="E557" s="1" t="s">
        <v>12</v>
      </c>
      <c r="F557" s="1">
        <v>32</v>
      </c>
      <c r="G557" s="1">
        <v>39</v>
      </c>
      <c r="H557" s="1">
        <v>33</v>
      </c>
    </row>
    <row r="558" spans="1:8" x14ac:dyDescent="0.3">
      <c r="A558" s="1" t="s">
        <v>8</v>
      </c>
      <c r="B558" s="1" t="s">
        <v>13</v>
      </c>
      <c r="C558" s="1" t="s">
        <v>19</v>
      </c>
      <c r="D558" s="1" t="s">
        <v>11</v>
      </c>
      <c r="E558" s="1" t="s">
        <v>15</v>
      </c>
      <c r="F558" s="1">
        <v>55</v>
      </c>
      <c r="G558" s="1">
        <v>72</v>
      </c>
      <c r="H558" s="1">
        <v>79</v>
      </c>
    </row>
    <row r="559" spans="1:8" x14ac:dyDescent="0.3">
      <c r="A559" s="1" t="s">
        <v>17</v>
      </c>
      <c r="B559" s="1" t="s">
        <v>13</v>
      </c>
      <c r="C559" s="1" t="s">
        <v>16</v>
      </c>
      <c r="D559" s="1" t="s">
        <v>20</v>
      </c>
      <c r="E559" s="1" t="s">
        <v>12</v>
      </c>
      <c r="F559" s="1">
        <v>61</v>
      </c>
      <c r="G559" s="1">
        <v>67</v>
      </c>
      <c r="H559" s="1">
        <v>66</v>
      </c>
    </row>
    <row r="560" spans="1:8" x14ac:dyDescent="0.3">
      <c r="A560" s="1" t="s">
        <v>8</v>
      </c>
      <c r="B560" s="1" t="s">
        <v>9</v>
      </c>
      <c r="C560" s="1" t="s">
        <v>19</v>
      </c>
      <c r="D560" s="1" t="s">
        <v>20</v>
      </c>
      <c r="E560" s="1" t="s">
        <v>12</v>
      </c>
      <c r="F560" s="1">
        <v>53</v>
      </c>
      <c r="G560" s="1">
        <v>70</v>
      </c>
      <c r="H560" s="1">
        <v>70</v>
      </c>
    </row>
    <row r="561" spans="1:8" x14ac:dyDescent="0.3">
      <c r="A561" s="1" t="s">
        <v>17</v>
      </c>
      <c r="B561" s="1" t="s">
        <v>21</v>
      </c>
      <c r="C561" s="1" t="s">
        <v>23</v>
      </c>
      <c r="D561" s="1" t="s">
        <v>11</v>
      </c>
      <c r="E561" s="1" t="s">
        <v>12</v>
      </c>
      <c r="F561" s="1">
        <v>73</v>
      </c>
      <c r="G561" s="1">
        <v>66</v>
      </c>
      <c r="H561" s="1">
        <v>62</v>
      </c>
    </row>
    <row r="562" spans="1:8" x14ac:dyDescent="0.3">
      <c r="A562" s="1" t="s">
        <v>8</v>
      </c>
      <c r="B562" s="1" t="s">
        <v>21</v>
      </c>
      <c r="C562" s="1" t="s">
        <v>14</v>
      </c>
      <c r="D562" s="1" t="s">
        <v>11</v>
      </c>
      <c r="E562" s="1" t="s">
        <v>15</v>
      </c>
      <c r="F562" s="1">
        <v>74</v>
      </c>
      <c r="G562" s="1">
        <v>75</v>
      </c>
      <c r="H562" s="1">
        <v>79</v>
      </c>
    </row>
    <row r="563" spans="1:8" x14ac:dyDescent="0.3">
      <c r="A563" s="1" t="s">
        <v>8</v>
      </c>
      <c r="B563" s="1" t="s">
        <v>13</v>
      </c>
      <c r="C563" s="1" t="s">
        <v>14</v>
      </c>
      <c r="D563" s="1" t="s">
        <v>11</v>
      </c>
      <c r="E563" s="1" t="s">
        <v>12</v>
      </c>
      <c r="F563" s="1">
        <v>63</v>
      </c>
      <c r="G563" s="1">
        <v>74</v>
      </c>
      <c r="H563" s="1">
        <v>74</v>
      </c>
    </row>
    <row r="564" spans="1:8" x14ac:dyDescent="0.3">
      <c r="A564" s="1" t="s">
        <v>17</v>
      </c>
      <c r="B564" s="1" t="s">
        <v>13</v>
      </c>
      <c r="C564" s="1" t="s">
        <v>10</v>
      </c>
      <c r="D564" s="1" t="s">
        <v>11</v>
      </c>
      <c r="E564" s="1" t="s">
        <v>15</v>
      </c>
      <c r="F564" s="1">
        <v>96</v>
      </c>
      <c r="G564" s="1">
        <v>90</v>
      </c>
      <c r="H564" s="1">
        <v>92</v>
      </c>
    </row>
    <row r="565" spans="1:8" x14ac:dyDescent="0.3">
      <c r="A565" s="1" t="s">
        <v>8</v>
      </c>
      <c r="B565" s="1" t="s">
        <v>21</v>
      </c>
      <c r="C565" s="1" t="s">
        <v>14</v>
      </c>
      <c r="D565" s="1" t="s">
        <v>20</v>
      </c>
      <c r="E565" s="1" t="s">
        <v>15</v>
      </c>
      <c r="F565" s="1">
        <v>63</v>
      </c>
      <c r="G565" s="1">
        <v>80</v>
      </c>
      <c r="H565" s="1">
        <v>80</v>
      </c>
    </row>
    <row r="566" spans="1:8" x14ac:dyDescent="0.3">
      <c r="A566" s="1" t="s">
        <v>17</v>
      </c>
      <c r="B566" s="1" t="s">
        <v>9</v>
      </c>
      <c r="C566" s="1" t="s">
        <v>10</v>
      </c>
      <c r="D566" s="1" t="s">
        <v>20</v>
      </c>
      <c r="E566" s="1" t="s">
        <v>12</v>
      </c>
      <c r="F566" s="1">
        <v>48</v>
      </c>
      <c r="G566" s="1">
        <v>51</v>
      </c>
      <c r="H566" s="1">
        <v>46</v>
      </c>
    </row>
    <row r="567" spans="1:8" x14ac:dyDescent="0.3">
      <c r="A567" s="1" t="s">
        <v>17</v>
      </c>
      <c r="B567" s="1" t="s">
        <v>9</v>
      </c>
      <c r="C567" s="1" t="s">
        <v>19</v>
      </c>
      <c r="D567" s="1" t="s">
        <v>11</v>
      </c>
      <c r="E567" s="1" t="s">
        <v>12</v>
      </c>
      <c r="F567" s="1">
        <v>48</v>
      </c>
      <c r="G567" s="1">
        <v>43</v>
      </c>
      <c r="H567" s="1">
        <v>45</v>
      </c>
    </row>
    <row r="568" spans="1:8" x14ac:dyDescent="0.3">
      <c r="A568" s="1" t="s">
        <v>8</v>
      </c>
      <c r="B568" s="1" t="s">
        <v>24</v>
      </c>
      <c r="C568" s="1" t="s">
        <v>10</v>
      </c>
      <c r="D568" s="1" t="s">
        <v>20</v>
      </c>
      <c r="E568" s="1" t="s">
        <v>15</v>
      </c>
      <c r="F568" s="1">
        <v>92</v>
      </c>
      <c r="G568" s="1">
        <v>100</v>
      </c>
      <c r="H568" s="1">
        <v>100</v>
      </c>
    </row>
    <row r="569" spans="1:8" x14ac:dyDescent="0.3">
      <c r="A569" s="1" t="s">
        <v>8</v>
      </c>
      <c r="B569" s="1" t="s">
        <v>21</v>
      </c>
      <c r="C569" s="1" t="s">
        <v>16</v>
      </c>
      <c r="D569" s="1" t="s">
        <v>20</v>
      </c>
      <c r="E569" s="1" t="s">
        <v>15</v>
      </c>
      <c r="F569" s="1">
        <v>61</v>
      </c>
      <c r="G569" s="1">
        <v>71</v>
      </c>
      <c r="H569" s="1">
        <v>78</v>
      </c>
    </row>
    <row r="570" spans="1:8" x14ac:dyDescent="0.3">
      <c r="A570" s="1" t="s">
        <v>17</v>
      </c>
      <c r="B570" s="1" t="s">
        <v>9</v>
      </c>
      <c r="C570" s="1" t="s">
        <v>22</v>
      </c>
      <c r="D570" s="1" t="s">
        <v>20</v>
      </c>
      <c r="E570" s="1" t="s">
        <v>12</v>
      </c>
      <c r="F570" s="1">
        <v>63</v>
      </c>
      <c r="G570" s="1">
        <v>48</v>
      </c>
      <c r="H570" s="1">
        <v>47</v>
      </c>
    </row>
    <row r="571" spans="1:8" x14ac:dyDescent="0.3">
      <c r="A571" s="1" t="s">
        <v>17</v>
      </c>
      <c r="B571" s="1" t="s">
        <v>21</v>
      </c>
      <c r="C571" s="1" t="s">
        <v>10</v>
      </c>
      <c r="D571" s="1" t="s">
        <v>20</v>
      </c>
      <c r="E571" s="1" t="s">
        <v>12</v>
      </c>
      <c r="F571" s="1">
        <v>68</v>
      </c>
      <c r="G571" s="1">
        <v>68</v>
      </c>
      <c r="H571" s="1">
        <v>67</v>
      </c>
    </row>
    <row r="572" spans="1:8" x14ac:dyDescent="0.3">
      <c r="A572" s="1" t="s">
        <v>17</v>
      </c>
      <c r="B572" s="1" t="s">
        <v>9</v>
      </c>
      <c r="C572" s="1" t="s">
        <v>14</v>
      </c>
      <c r="D572" s="1" t="s">
        <v>11</v>
      </c>
      <c r="E572" s="1" t="s">
        <v>15</v>
      </c>
      <c r="F572" s="1">
        <v>71</v>
      </c>
      <c r="G572" s="1">
        <v>75</v>
      </c>
      <c r="H572" s="1">
        <v>70</v>
      </c>
    </row>
    <row r="573" spans="1:8" x14ac:dyDescent="0.3">
      <c r="A573" s="1" t="s">
        <v>17</v>
      </c>
      <c r="B573" s="1" t="s">
        <v>18</v>
      </c>
      <c r="C573" s="1" t="s">
        <v>10</v>
      </c>
      <c r="D573" s="1" t="s">
        <v>11</v>
      </c>
      <c r="E573" s="1" t="s">
        <v>12</v>
      </c>
      <c r="F573" s="1">
        <v>91</v>
      </c>
      <c r="G573" s="1">
        <v>96</v>
      </c>
      <c r="H573" s="1">
        <v>92</v>
      </c>
    </row>
    <row r="574" spans="1:8" x14ac:dyDescent="0.3">
      <c r="A574" s="1" t="s">
        <v>8</v>
      </c>
      <c r="B574" s="1" t="s">
        <v>13</v>
      </c>
      <c r="C574" s="1" t="s">
        <v>14</v>
      </c>
      <c r="D574" s="1" t="s">
        <v>11</v>
      </c>
      <c r="E574" s="1" t="s">
        <v>12</v>
      </c>
      <c r="F574" s="1">
        <v>53</v>
      </c>
      <c r="G574" s="1">
        <v>62</v>
      </c>
      <c r="H574" s="1">
        <v>56</v>
      </c>
    </row>
    <row r="575" spans="1:8" x14ac:dyDescent="0.3">
      <c r="A575" s="1" t="s">
        <v>8</v>
      </c>
      <c r="B575" s="1" t="s">
        <v>13</v>
      </c>
      <c r="C575" s="1" t="s">
        <v>22</v>
      </c>
      <c r="D575" s="1" t="s">
        <v>20</v>
      </c>
      <c r="E575" s="1" t="s">
        <v>15</v>
      </c>
      <c r="F575" s="1">
        <v>50</v>
      </c>
      <c r="G575" s="1">
        <v>66</v>
      </c>
      <c r="H575" s="1">
        <v>64</v>
      </c>
    </row>
    <row r="576" spans="1:8" x14ac:dyDescent="0.3">
      <c r="A576" s="1" t="s">
        <v>8</v>
      </c>
      <c r="B576" s="1" t="s">
        <v>24</v>
      </c>
      <c r="C576" s="1" t="s">
        <v>22</v>
      </c>
      <c r="D576" s="1" t="s">
        <v>11</v>
      </c>
      <c r="E576" s="1" t="s">
        <v>12</v>
      </c>
      <c r="F576" s="1">
        <v>74</v>
      </c>
      <c r="G576" s="1">
        <v>81</v>
      </c>
      <c r="H576" s="1">
        <v>71</v>
      </c>
    </row>
    <row r="577" spans="1:8" x14ac:dyDescent="0.3">
      <c r="A577" s="1" t="s">
        <v>17</v>
      </c>
      <c r="B577" s="1" t="s">
        <v>18</v>
      </c>
      <c r="C577" s="1" t="s">
        <v>19</v>
      </c>
      <c r="D577" s="1" t="s">
        <v>20</v>
      </c>
      <c r="E577" s="1" t="s">
        <v>15</v>
      </c>
      <c r="F577" s="1">
        <v>40</v>
      </c>
      <c r="G577" s="1">
        <v>55</v>
      </c>
      <c r="H577" s="1">
        <v>53</v>
      </c>
    </row>
    <row r="578" spans="1:8" x14ac:dyDescent="0.3">
      <c r="A578" s="1" t="s">
        <v>17</v>
      </c>
      <c r="B578" s="1" t="s">
        <v>18</v>
      </c>
      <c r="C578" s="1" t="s">
        <v>14</v>
      </c>
      <c r="D578" s="1" t="s">
        <v>11</v>
      </c>
      <c r="E578" s="1" t="s">
        <v>15</v>
      </c>
      <c r="F578" s="1">
        <v>61</v>
      </c>
      <c r="G578" s="1">
        <v>51</v>
      </c>
      <c r="H578" s="1">
        <v>52</v>
      </c>
    </row>
    <row r="579" spans="1:8" x14ac:dyDescent="0.3">
      <c r="A579" s="1" t="s">
        <v>8</v>
      </c>
      <c r="B579" s="1" t="s">
        <v>9</v>
      </c>
      <c r="C579" s="1" t="s">
        <v>22</v>
      </c>
      <c r="D579" s="1" t="s">
        <v>11</v>
      </c>
      <c r="E579" s="1" t="s">
        <v>12</v>
      </c>
      <c r="F579" s="1">
        <v>81</v>
      </c>
      <c r="G579" s="1">
        <v>91</v>
      </c>
      <c r="H579" s="1">
        <v>89</v>
      </c>
    </row>
    <row r="580" spans="1:8" x14ac:dyDescent="0.3">
      <c r="A580" s="1" t="s">
        <v>8</v>
      </c>
      <c r="B580" s="1" t="s">
        <v>9</v>
      </c>
      <c r="C580" s="1" t="s">
        <v>14</v>
      </c>
      <c r="D580" s="1" t="s">
        <v>20</v>
      </c>
      <c r="E580" s="1" t="s">
        <v>15</v>
      </c>
      <c r="F580" s="1">
        <v>48</v>
      </c>
      <c r="G580" s="1">
        <v>56</v>
      </c>
      <c r="H580" s="1">
        <v>58</v>
      </c>
    </row>
    <row r="581" spans="1:8" x14ac:dyDescent="0.3">
      <c r="A581" s="1" t="s">
        <v>8</v>
      </c>
      <c r="B581" s="1" t="s">
        <v>21</v>
      </c>
      <c r="C581" s="1" t="s">
        <v>16</v>
      </c>
      <c r="D581" s="1" t="s">
        <v>11</v>
      </c>
      <c r="E581" s="1" t="s">
        <v>12</v>
      </c>
      <c r="F581" s="1">
        <v>53</v>
      </c>
      <c r="G581" s="1">
        <v>61</v>
      </c>
      <c r="H581" s="1">
        <v>68</v>
      </c>
    </row>
    <row r="582" spans="1:8" x14ac:dyDescent="0.3">
      <c r="A582" s="1" t="s">
        <v>8</v>
      </c>
      <c r="B582" s="1" t="s">
        <v>21</v>
      </c>
      <c r="C582" s="1" t="s">
        <v>23</v>
      </c>
      <c r="D582" s="1" t="s">
        <v>11</v>
      </c>
      <c r="E582" s="1" t="s">
        <v>12</v>
      </c>
      <c r="F582" s="1">
        <v>81</v>
      </c>
      <c r="G582" s="1">
        <v>97</v>
      </c>
      <c r="H582" s="1">
        <v>96</v>
      </c>
    </row>
    <row r="583" spans="1:8" x14ac:dyDescent="0.3">
      <c r="A583" s="1" t="s">
        <v>8</v>
      </c>
      <c r="B583" s="1" t="s">
        <v>24</v>
      </c>
      <c r="C583" s="1" t="s">
        <v>23</v>
      </c>
      <c r="D583" s="1" t="s">
        <v>11</v>
      </c>
      <c r="E583" s="1" t="s">
        <v>12</v>
      </c>
      <c r="F583" s="1">
        <v>77</v>
      </c>
      <c r="G583" s="1">
        <v>79</v>
      </c>
      <c r="H583" s="1">
        <v>80</v>
      </c>
    </row>
    <row r="584" spans="1:8" x14ac:dyDescent="0.3">
      <c r="A584" s="1" t="s">
        <v>8</v>
      </c>
      <c r="B584" s="1" t="s">
        <v>21</v>
      </c>
      <c r="C584" s="1" t="s">
        <v>10</v>
      </c>
      <c r="D584" s="1" t="s">
        <v>20</v>
      </c>
      <c r="E584" s="1" t="s">
        <v>12</v>
      </c>
      <c r="F584" s="1">
        <v>63</v>
      </c>
      <c r="G584" s="1">
        <v>73</v>
      </c>
      <c r="H584" s="1">
        <v>78</v>
      </c>
    </row>
    <row r="585" spans="1:8" x14ac:dyDescent="0.3">
      <c r="A585" s="1" t="s">
        <v>8</v>
      </c>
      <c r="B585" s="1" t="s">
        <v>21</v>
      </c>
      <c r="C585" s="1" t="s">
        <v>19</v>
      </c>
      <c r="D585" s="1" t="s">
        <v>11</v>
      </c>
      <c r="E585" s="1" t="s">
        <v>15</v>
      </c>
      <c r="F585" s="1">
        <v>73</v>
      </c>
      <c r="G585" s="1">
        <v>75</v>
      </c>
      <c r="H585" s="1">
        <v>80</v>
      </c>
    </row>
    <row r="586" spans="1:8" x14ac:dyDescent="0.3">
      <c r="A586" s="1" t="s">
        <v>8</v>
      </c>
      <c r="B586" s="1" t="s">
        <v>21</v>
      </c>
      <c r="C586" s="1" t="s">
        <v>14</v>
      </c>
      <c r="D586" s="1" t="s">
        <v>11</v>
      </c>
      <c r="E586" s="1" t="s">
        <v>12</v>
      </c>
      <c r="F586" s="1">
        <v>69</v>
      </c>
      <c r="G586" s="1">
        <v>77</v>
      </c>
      <c r="H586" s="1">
        <v>77</v>
      </c>
    </row>
    <row r="587" spans="1:8" x14ac:dyDescent="0.3">
      <c r="A587" s="1" t="s">
        <v>8</v>
      </c>
      <c r="B587" s="1" t="s">
        <v>13</v>
      </c>
      <c r="C587" s="1" t="s">
        <v>19</v>
      </c>
      <c r="D587" s="1" t="s">
        <v>11</v>
      </c>
      <c r="E587" s="1" t="s">
        <v>12</v>
      </c>
      <c r="F587" s="1">
        <v>65</v>
      </c>
      <c r="G587" s="1">
        <v>76</v>
      </c>
      <c r="H587" s="1">
        <v>76</v>
      </c>
    </row>
    <row r="588" spans="1:8" x14ac:dyDescent="0.3">
      <c r="A588" s="1" t="s">
        <v>8</v>
      </c>
      <c r="B588" s="1" t="s">
        <v>18</v>
      </c>
      <c r="C588" s="1" t="s">
        <v>22</v>
      </c>
      <c r="D588" s="1" t="s">
        <v>11</v>
      </c>
      <c r="E588" s="1" t="s">
        <v>12</v>
      </c>
      <c r="F588" s="1">
        <v>55</v>
      </c>
      <c r="G588" s="1">
        <v>73</v>
      </c>
      <c r="H588" s="1">
        <v>73</v>
      </c>
    </row>
    <row r="589" spans="1:8" x14ac:dyDescent="0.3">
      <c r="A589" s="1" t="s">
        <v>8</v>
      </c>
      <c r="B589" s="1" t="s">
        <v>13</v>
      </c>
      <c r="C589" s="1" t="s">
        <v>10</v>
      </c>
      <c r="D589" s="1" t="s">
        <v>20</v>
      </c>
      <c r="E589" s="1" t="s">
        <v>12</v>
      </c>
      <c r="F589" s="1">
        <v>44</v>
      </c>
      <c r="G589" s="1">
        <v>63</v>
      </c>
      <c r="H589" s="1">
        <v>62</v>
      </c>
    </row>
    <row r="590" spans="1:8" x14ac:dyDescent="0.3">
      <c r="A590" s="1" t="s">
        <v>8</v>
      </c>
      <c r="B590" s="1" t="s">
        <v>13</v>
      </c>
      <c r="C590" s="1" t="s">
        <v>14</v>
      </c>
      <c r="D590" s="1" t="s">
        <v>11</v>
      </c>
      <c r="E590" s="1" t="s">
        <v>12</v>
      </c>
      <c r="F590" s="1">
        <v>54</v>
      </c>
      <c r="G590" s="1">
        <v>64</v>
      </c>
      <c r="H590" s="1">
        <v>65</v>
      </c>
    </row>
    <row r="591" spans="1:8" x14ac:dyDescent="0.3">
      <c r="A591" s="1" t="s">
        <v>8</v>
      </c>
      <c r="B591" s="1" t="s">
        <v>18</v>
      </c>
      <c r="C591" s="1" t="s">
        <v>23</v>
      </c>
      <c r="D591" s="1" t="s">
        <v>11</v>
      </c>
      <c r="E591" s="1" t="s">
        <v>12</v>
      </c>
      <c r="F591" s="1">
        <v>48</v>
      </c>
      <c r="G591" s="1">
        <v>66</v>
      </c>
      <c r="H591" s="1">
        <v>65</v>
      </c>
    </row>
    <row r="592" spans="1:8" x14ac:dyDescent="0.3">
      <c r="A592" s="1" t="s">
        <v>17</v>
      </c>
      <c r="B592" s="1" t="s">
        <v>13</v>
      </c>
      <c r="C592" s="1" t="s">
        <v>14</v>
      </c>
      <c r="D592" s="1" t="s">
        <v>20</v>
      </c>
      <c r="E592" s="1" t="s">
        <v>12</v>
      </c>
      <c r="F592" s="1">
        <v>58</v>
      </c>
      <c r="G592" s="1">
        <v>57</v>
      </c>
      <c r="H592" s="1">
        <v>54</v>
      </c>
    </row>
    <row r="593" spans="1:8" x14ac:dyDescent="0.3">
      <c r="A593" s="1" t="s">
        <v>17</v>
      </c>
      <c r="B593" s="1" t="s">
        <v>18</v>
      </c>
      <c r="C593" s="1" t="s">
        <v>23</v>
      </c>
      <c r="D593" s="1" t="s">
        <v>11</v>
      </c>
      <c r="E593" s="1" t="s">
        <v>12</v>
      </c>
      <c r="F593" s="1">
        <v>71</v>
      </c>
      <c r="G593" s="1">
        <v>62</v>
      </c>
      <c r="H593" s="1">
        <v>50</v>
      </c>
    </row>
    <row r="594" spans="1:8" x14ac:dyDescent="0.3">
      <c r="A594" s="1" t="s">
        <v>17</v>
      </c>
      <c r="B594" s="1" t="s">
        <v>24</v>
      </c>
      <c r="C594" s="1" t="s">
        <v>10</v>
      </c>
      <c r="D594" s="1" t="s">
        <v>11</v>
      </c>
      <c r="E594" s="1" t="s">
        <v>12</v>
      </c>
      <c r="F594" s="1">
        <v>68</v>
      </c>
      <c r="G594" s="1">
        <v>68</v>
      </c>
      <c r="H594" s="1">
        <v>64</v>
      </c>
    </row>
    <row r="595" spans="1:8" x14ac:dyDescent="0.3">
      <c r="A595" s="1" t="s">
        <v>8</v>
      </c>
      <c r="B595" s="1" t="s">
        <v>24</v>
      </c>
      <c r="C595" s="1" t="s">
        <v>22</v>
      </c>
      <c r="D595" s="1" t="s">
        <v>11</v>
      </c>
      <c r="E595" s="1" t="s">
        <v>12</v>
      </c>
      <c r="F595" s="1">
        <v>74</v>
      </c>
      <c r="G595" s="1">
        <v>76</v>
      </c>
      <c r="H595" s="1">
        <v>73</v>
      </c>
    </row>
    <row r="596" spans="1:8" x14ac:dyDescent="0.3">
      <c r="A596" s="1" t="s">
        <v>8</v>
      </c>
      <c r="B596" s="1" t="s">
        <v>13</v>
      </c>
      <c r="C596" s="1" t="s">
        <v>10</v>
      </c>
      <c r="D596" s="1" t="s">
        <v>11</v>
      </c>
      <c r="E596" s="1" t="s">
        <v>15</v>
      </c>
      <c r="F596" s="1">
        <v>92</v>
      </c>
      <c r="G596" s="1">
        <v>100</v>
      </c>
      <c r="H596" s="1">
        <v>99</v>
      </c>
    </row>
    <row r="597" spans="1:8" x14ac:dyDescent="0.3">
      <c r="A597" s="1" t="s">
        <v>8</v>
      </c>
      <c r="B597" s="1" t="s">
        <v>13</v>
      </c>
      <c r="C597" s="1" t="s">
        <v>10</v>
      </c>
      <c r="D597" s="1" t="s">
        <v>11</v>
      </c>
      <c r="E597" s="1" t="s">
        <v>15</v>
      </c>
      <c r="F597" s="1">
        <v>56</v>
      </c>
      <c r="G597" s="1">
        <v>79</v>
      </c>
      <c r="H597" s="1">
        <v>72</v>
      </c>
    </row>
    <row r="598" spans="1:8" x14ac:dyDescent="0.3">
      <c r="A598" s="1" t="s">
        <v>17</v>
      </c>
      <c r="B598" s="1" t="s">
        <v>9</v>
      </c>
      <c r="C598" s="1" t="s">
        <v>22</v>
      </c>
      <c r="D598" s="1" t="s">
        <v>20</v>
      </c>
      <c r="E598" s="1" t="s">
        <v>12</v>
      </c>
      <c r="F598" s="1">
        <v>30</v>
      </c>
      <c r="G598" s="1">
        <v>24</v>
      </c>
      <c r="H598" s="1">
        <v>15</v>
      </c>
    </row>
    <row r="599" spans="1:8" x14ac:dyDescent="0.3">
      <c r="A599" s="1" t="s">
        <v>17</v>
      </c>
      <c r="B599" s="1" t="s">
        <v>18</v>
      </c>
      <c r="C599" s="1" t="s">
        <v>23</v>
      </c>
      <c r="D599" s="1" t="s">
        <v>11</v>
      </c>
      <c r="E599" s="1" t="s">
        <v>12</v>
      </c>
      <c r="F599" s="1">
        <v>53</v>
      </c>
      <c r="G599" s="1">
        <v>54</v>
      </c>
      <c r="H599" s="1">
        <v>48</v>
      </c>
    </row>
    <row r="600" spans="1:8" x14ac:dyDescent="0.3">
      <c r="A600" s="1" t="s">
        <v>8</v>
      </c>
      <c r="B600" s="1" t="s">
        <v>21</v>
      </c>
      <c r="C600" s="1" t="s">
        <v>22</v>
      </c>
      <c r="D600" s="1" t="s">
        <v>11</v>
      </c>
      <c r="E600" s="1" t="s">
        <v>12</v>
      </c>
      <c r="F600" s="1">
        <v>69</v>
      </c>
      <c r="G600" s="1">
        <v>77</v>
      </c>
      <c r="H600" s="1">
        <v>73</v>
      </c>
    </row>
    <row r="601" spans="1:8" x14ac:dyDescent="0.3">
      <c r="A601" s="1" t="s">
        <v>8</v>
      </c>
      <c r="B601" s="1" t="s">
        <v>21</v>
      </c>
      <c r="C601" s="1" t="s">
        <v>23</v>
      </c>
      <c r="D601" s="1" t="s">
        <v>11</v>
      </c>
      <c r="E601" s="1" t="s">
        <v>12</v>
      </c>
      <c r="F601" s="1">
        <v>65</v>
      </c>
      <c r="G601" s="1">
        <v>82</v>
      </c>
      <c r="H601" s="1">
        <v>81</v>
      </c>
    </row>
    <row r="602" spans="1:8" x14ac:dyDescent="0.3">
      <c r="A602" s="1" t="s">
        <v>8</v>
      </c>
      <c r="B602" s="1" t="s">
        <v>21</v>
      </c>
      <c r="C602" s="1" t="s">
        <v>16</v>
      </c>
      <c r="D602" s="1" t="s">
        <v>11</v>
      </c>
      <c r="E602" s="1" t="s">
        <v>12</v>
      </c>
      <c r="F602" s="1">
        <v>54</v>
      </c>
      <c r="G602" s="1">
        <v>60</v>
      </c>
      <c r="H602" s="1">
        <v>63</v>
      </c>
    </row>
    <row r="603" spans="1:8" x14ac:dyDescent="0.3">
      <c r="A603" s="1" t="s">
        <v>8</v>
      </c>
      <c r="B603" s="1" t="s">
        <v>13</v>
      </c>
      <c r="C603" s="1" t="s">
        <v>22</v>
      </c>
      <c r="D603" s="1" t="s">
        <v>11</v>
      </c>
      <c r="E603" s="1" t="s">
        <v>12</v>
      </c>
      <c r="F603" s="1">
        <v>29</v>
      </c>
      <c r="G603" s="1">
        <v>29</v>
      </c>
      <c r="H603" s="1">
        <v>30</v>
      </c>
    </row>
    <row r="604" spans="1:8" x14ac:dyDescent="0.3">
      <c r="A604" s="1" t="s">
        <v>8</v>
      </c>
      <c r="B604" s="1" t="s">
        <v>24</v>
      </c>
      <c r="C604" s="1" t="s">
        <v>14</v>
      </c>
      <c r="D604" s="1" t="s">
        <v>11</v>
      </c>
      <c r="E604" s="1" t="s">
        <v>12</v>
      </c>
      <c r="F604" s="1">
        <v>76</v>
      </c>
      <c r="G604" s="1">
        <v>78</v>
      </c>
      <c r="H604" s="1">
        <v>80</v>
      </c>
    </row>
    <row r="605" spans="1:8" x14ac:dyDescent="0.3">
      <c r="A605" s="1" t="s">
        <v>17</v>
      </c>
      <c r="B605" s="1" t="s">
        <v>21</v>
      </c>
      <c r="C605" s="1" t="s">
        <v>22</v>
      </c>
      <c r="D605" s="1" t="s">
        <v>20</v>
      </c>
      <c r="E605" s="1" t="s">
        <v>12</v>
      </c>
      <c r="F605" s="1">
        <v>60</v>
      </c>
      <c r="G605" s="1">
        <v>57</v>
      </c>
      <c r="H605" s="1">
        <v>51</v>
      </c>
    </row>
    <row r="606" spans="1:8" x14ac:dyDescent="0.3">
      <c r="A606" s="1" t="s">
        <v>17</v>
      </c>
      <c r="B606" s="1" t="s">
        <v>21</v>
      </c>
      <c r="C606" s="1" t="s">
        <v>16</v>
      </c>
      <c r="D606" s="1" t="s">
        <v>20</v>
      </c>
      <c r="E606" s="1" t="s">
        <v>15</v>
      </c>
      <c r="F606" s="1">
        <v>84</v>
      </c>
      <c r="G606" s="1">
        <v>89</v>
      </c>
      <c r="H606" s="1">
        <v>90</v>
      </c>
    </row>
    <row r="607" spans="1:8" x14ac:dyDescent="0.3">
      <c r="A607" s="1" t="s">
        <v>17</v>
      </c>
      <c r="B607" s="1" t="s">
        <v>13</v>
      </c>
      <c r="C607" s="1" t="s">
        <v>23</v>
      </c>
      <c r="D607" s="1" t="s">
        <v>11</v>
      </c>
      <c r="E607" s="1" t="s">
        <v>12</v>
      </c>
      <c r="F607" s="1">
        <v>75</v>
      </c>
      <c r="G607" s="1">
        <v>72</v>
      </c>
      <c r="H607" s="1">
        <v>62</v>
      </c>
    </row>
    <row r="608" spans="1:8" x14ac:dyDescent="0.3">
      <c r="A608" s="1" t="s">
        <v>8</v>
      </c>
      <c r="B608" s="1" t="s">
        <v>13</v>
      </c>
      <c r="C608" s="1" t="s">
        <v>19</v>
      </c>
      <c r="D608" s="1" t="s">
        <v>11</v>
      </c>
      <c r="E608" s="1" t="s">
        <v>12</v>
      </c>
      <c r="F608" s="1">
        <v>85</v>
      </c>
      <c r="G608" s="1">
        <v>84</v>
      </c>
      <c r="H608" s="1">
        <v>82</v>
      </c>
    </row>
    <row r="609" spans="1:8" x14ac:dyDescent="0.3">
      <c r="A609" s="1" t="s">
        <v>8</v>
      </c>
      <c r="B609" s="1" t="s">
        <v>13</v>
      </c>
      <c r="C609" s="1" t="s">
        <v>16</v>
      </c>
      <c r="D609" s="1" t="s">
        <v>20</v>
      </c>
      <c r="E609" s="1" t="s">
        <v>12</v>
      </c>
      <c r="F609" s="1">
        <v>40</v>
      </c>
      <c r="G609" s="1">
        <v>58</v>
      </c>
      <c r="H609" s="1">
        <v>54</v>
      </c>
    </row>
    <row r="610" spans="1:8" x14ac:dyDescent="0.3">
      <c r="A610" s="1" t="s">
        <v>8</v>
      </c>
      <c r="B610" s="1" t="s">
        <v>24</v>
      </c>
      <c r="C610" s="1" t="s">
        <v>14</v>
      </c>
      <c r="D610" s="1" t="s">
        <v>11</v>
      </c>
      <c r="E610" s="1" t="s">
        <v>12</v>
      </c>
      <c r="F610" s="1">
        <v>61</v>
      </c>
      <c r="G610" s="1">
        <v>64</v>
      </c>
      <c r="H610" s="1">
        <v>62</v>
      </c>
    </row>
    <row r="611" spans="1:8" x14ac:dyDescent="0.3">
      <c r="A611" s="1" t="s">
        <v>8</v>
      </c>
      <c r="B611" s="1" t="s">
        <v>9</v>
      </c>
      <c r="C611" s="1" t="s">
        <v>19</v>
      </c>
      <c r="D611" s="1" t="s">
        <v>11</v>
      </c>
      <c r="E611" s="1" t="s">
        <v>12</v>
      </c>
      <c r="F611" s="1">
        <v>58</v>
      </c>
      <c r="G611" s="1">
        <v>63</v>
      </c>
      <c r="H611" s="1">
        <v>65</v>
      </c>
    </row>
    <row r="612" spans="1:8" x14ac:dyDescent="0.3">
      <c r="A612" s="1" t="s">
        <v>17</v>
      </c>
      <c r="B612" s="1" t="s">
        <v>21</v>
      </c>
      <c r="C612" s="1" t="s">
        <v>14</v>
      </c>
      <c r="D612" s="1" t="s">
        <v>20</v>
      </c>
      <c r="E612" s="1" t="s">
        <v>15</v>
      </c>
      <c r="F612" s="1">
        <v>69</v>
      </c>
      <c r="G612" s="1">
        <v>60</v>
      </c>
      <c r="H612" s="1">
        <v>63</v>
      </c>
    </row>
    <row r="613" spans="1:8" x14ac:dyDescent="0.3">
      <c r="A613" s="1" t="s">
        <v>8</v>
      </c>
      <c r="B613" s="1" t="s">
        <v>13</v>
      </c>
      <c r="C613" s="1" t="s">
        <v>14</v>
      </c>
      <c r="D613" s="1" t="s">
        <v>11</v>
      </c>
      <c r="E613" s="1" t="s">
        <v>12</v>
      </c>
      <c r="F613" s="1">
        <v>58</v>
      </c>
      <c r="G613" s="1">
        <v>59</v>
      </c>
      <c r="H613" s="1">
        <v>66</v>
      </c>
    </row>
    <row r="614" spans="1:8" x14ac:dyDescent="0.3">
      <c r="A614" s="1" t="s">
        <v>17</v>
      </c>
      <c r="B614" s="1" t="s">
        <v>13</v>
      </c>
      <c r="C614" s="1" t="s">
        <v>10</v>
      </c>
      <c r="D614" s="1" t="s">
        <v>11</v>
      </c>
      <c r="E614" s="1" t="s">
        <v>15</v>
      </c>
      <c r="F614" s="1">
        <v>94</v>
      </c>
      <c r="G614" s="1">
        <v>90</v>
      </c>
      <c r="H614" s="1">
        <v>91</v>
      </c>
    </row>
    <row r="615" spans="1:8" x14ac:dyDescent="0.3">
      <c r="A615" s="1" t="s">
        <v>8</v>
      </c>
      <c r="B615" s="1" t="s">
        <v>13</v>
      </c>
      <c r="C615" s="1" t="s">
        <v>19</v>
      </c>
      <c r="D615" s="1" t="s">
        <v>11</v>
      </c>
      <c r="E615" s="1" t="s">
        <v>12</v>
      </c>
      <c r="F615" s="1">
        <v>65</v>
      </c>
      <c r="G615" s="1">
        <v>77</v>
      </c>
      <c r="H615" s="1">
        <v>74</v>
      </c>
    </row>
    <row r="616" spans="1:8" x14ac:dyDescent="0.3">
      <c r="A616" s="1" t="s">
        <v>8</v>
      </c>
      <c r="B616" s="1" t="s">
        <v>18</v>
      </c>
      <c r="C616" s="1" t="s">
        <v>19</v>
      </c>
      <c r="D616" s="1" t="s">
        <v>11</v>
      </c>
      <c r="E616" s="1" t="s">
        <v>12</v>
      </c>
      <c r="F616" s="1">
        <v>82</v>
      </c>
      <c r="G616" s="1">
        <v>93</v>
      </c>
      <c r="H616" s="1">
        <v>93</v>
      </c>
    </row>
    <row r="617" spans="1:8" x14ac:dyDescent="0.3">
      <c r="A617" s="1" t="s">
        <v>8</v>
      </c>
      <c r="B617" s="1" t="s">
        <v>13</v>
      </c>
      <c r="C617" s="1" t="s">
        <v>22</v>
      </c>
      <c r="D617" s="1" t="s">
        <v>11</v>
      </c>
      <c r="E617" s="1" t="s">
        <v>12</v>
      </c>
      <c r="F617" s="1">
        <v>60</v>
      </c>
      <c r="G617" s="1">
        <v>68</v>
      </c>
      <c r="H617" s="1">
        <v>72</v>
      </c>
    </row>
    <row r="618" spans="1:8" x14ac:dyDescent="0.3">
      <c r="A618" s="1" t="s">
        <v>8</v>
      </c>
      <c r="B618" s="1" t="s">
        <v>24</v>
      </c>
      <c r="C618" s="1" t="s">
        <v>10</v>
      </c>
      <c r="D618" s="1" t="s">
        <v>11</v>
      </c>
      <c r="E618" s="1" t="s">
        <v>12</v>
      </c>
      <c r="F618" s="1">
        <v>37</v>
      </c>
      <c r="G618" s="1">
        <v>45</v>
      </c>
      <c r="H618" s="1">
        <v>38</v>
      </c>
    </row>
    <row r="619" spans="1:8" x14ac:dyDescent="0.3">
      <c r="A619" s="1" t="s">
        <v>17</v>
      </c>
      <c r="B619" s="1" t="s">
        <v>21</v>
      </c>
      <c r="C619" s="1" t="s">
        <v>10</v>
      </c>
      <c r="D619" s="1" t="s">
        <v>11</v>
      </c>
      <c r="E619" s="1" t="s">
        <v>12</v>
      </c>
      <c r="F619" s="1">
        <v>88</v>
      </c>
      <c r="G619" s="1">
        <v>78</v>
      </c>
      <c r="H619" s="1">
        <v>83</v>
      </c>
    </row>
    <row r="620" spans="1:8" x14ac:dyDescent="0.3">
      <c r="A620" s="1" t="s">
        <v>17</v>
      </c>
      <c r="B620" s="1" t="s">
        <v>21</v>
      </c>
      <c r="C620" s="1" t="s">
        <v>16</v>
      </c>
      <c r="D620" s="1" t="s">
        <v>11</v>
      </c>
      <c r="E620" s="1" t="s">
        <v>12</v>
      </c>
      <c r="F620" s="1">
        <v>95</v>
      </c>
      <c r="G620" s="1">
        <v>81</v>
      </c>
      <c r="H620" s="1">
        <v>84</v>
      </c>
    </row>
    <row r="621" spans="1:8" x14ac:dyDescent="0.3">
      <c r="A621" s="1" t="s">
        <v>17</v>
      </c>
      <c r="B621" s="1" t="s">
        <v>13</v>
      </c>
      <c r="C621" s="1" t="s">
        <v>19</v>
      </c>
      <c r="D621" s="1" t="s">
        <v>20</v>
      </c>
      <c r="E621" s="1" t="s">
        <v>15</v>
      </c>
      <c r="F621" s="1">
        <v>65</v>
      </c>
      <c r="G621" s="1">
        <v>73</v>
      </c>
      <c r="H621" s="1">
        <v>68</v>
      </c>
    </row>
    <row r="622" spans="1:8" x14ac:dyDescent="0.3">
      <c r="A622" s="1" t="s">
        <v>8</v>
      </c>
      <c r="B622" s="1" t="s">
        <v>13</v>
      </c>
      <c r="C622" s="1" t="s">
        <v>22</v>
      </c>
      <c r="D622" s="1" t="s">
        <v>20</v>
      </c>
      <c r="E622" s="1" t="s">
        <v>12</v>
      </c>
      <c r="F622" s="1">
        <v>35</v>
      </c>
      <c r="G622" s="1">
        <v>61</v>
      </c>
      <c r="H622" s="1">
        <v>54</v>
      </c>
    </row>
    <row r="623" spans="1:8" x14ac:dyDescent="0.3">
      <c r="A623" s="1" t="s">
        <v>17</v>
      </c>
      <c r="B623" s="1" t="s">
        <v>9</v>
      </c>
      <c r="C623" s="1" t="s">
        <v>10</v>
      </c>
      <c r="D623" s="1" t="s">
        <v>20</v>
      </c>
      <c r="E623" s="1" t="s">
        <v>12</v>
      </c>
      <c r="F623" s="1">
        <v>62</v>
      </c>
      <c r="G623" s="1">
        <v>63</v>
      </c>
      <c r="H623" s="1">
        <v>56</v>
      </c>
    </row>
    <row r="624" spans="1:8" x14ac:dyDescent="0.3">
      <c r="A624" s="1" t="s">
        <v>17</v>
      </c>
      <c r="B624" s="1" t="s">
        <v>13</v>
      </c>
      <c r="C624" s="1" t="s">
        <v>22</v>
      </c>
      <c r="D624" s="1" t="s">
        <v>20</v>
      </c>
      <c r="E624" s="1" t="s">
        <v>15</v>
      </c>
      <c r="F624" s="1">
        <v>58</v>
      </c>
      <c r="G624" s="1">
        <v>51</v>
      </c>
      <c r="H624" s="1">
        <v>52</v>
      </c>
    </row>
    <row r="625" spans="1:8" x14ac:dyDescent="0.3">
      <c r="A625" s="1" t="s">
        <v>17</v>
      </c>
      <c r="B625" s="1" t="s">
        <v>18</v>
      </c>
      <c r="C625" s="1" t="s">
        <v>14</v>
      </c>
      <c r="D625" s="1" t="s">
        <v>11</v>
      </c>
      <c r="E625" s="1" t="s">
        <v>15</v>
      </c>
      <c r="F625" s="1">
        <v>100</v>
      </c>
      <c r="G625" s="1">
        <v>96</v>
      </c>
      <c r="H625" s="1">
        <v>86</v>
      </c>
    </row>
    <row r="626" spans="1:8" x14ac:dyDescent="0.3">
      <c r="A626" s="1" t="s">
        <v>8</v>
      </c>
      <c r="B626" s="1" t="s">
        <v>24</v>
      </c>
      <c r="C626" s="1" t="s">
        <v>10</v>
      </c>
      <c r="D626" s="1" t="s">
        <v>20</v>
      </c>
      <c r="E626" s="1" t="s">
        <v>12</v>
      </c>
      <c r="F626" s="1">
        <v>61</v>
      </c>
      <c r="G626" s="1">
        <v>58</v>
      </c>
      <c r="H626" s="1">
        <v>62</v>
      </c>
    </row>
    <row r="627" spans="1:8" x14ac:dyDescent="0.3">
      <c r="A627" s="1" t="s">
        <v>17</v>
      </c>
      <c r="B627" s="1" t="s">
        <v>21</v>
      </c>
      <c r="C627" s="1" t="s">
        <v>14</v>
      </c>
      <c r="D627" s="1" t="s">
        <v>11</v>
      </c>
      <c r="E627" s="1" t="s">
        <v>15</v>
      </c>
      <c r="F627" s="1">
        <v>100</v>
      </c>
      <c r="G627" s="1">
        <v>97</v>
      </c>
      <c r="H627" s="1">
        <v>99</v>
      </c>
    </row>
    <row r="628" spans="1:8" x14ac:dyDescent="0.3">
      <c r="A628" s="1" t="s">
        <v>17</v>
      </c>
      <c r="B628" s="1" t="s">
        <v>9</v>
      </c>
      <c r="C628" s="1" t="s">
        <v>19</v>
      </c>
      <c r="D628" s="1" t="s">
        <v>20</v>
      </c>
      <c r="E628" s="1" t="s">
        <v>15</v>
      </c>
      <c r="F628" s="1">
        <v>69</v>
      </c>
      <c r="G628" s="1">
        <v>70</v>
      </c>
      <c r="H628" s="1">
        <v>63</v>
      </c>
    </row>
    <row r="629" spans="1:8" x14ac:dyDescent="0.3">
      <c r="A629" s="1" t="s">
        <v>17</v>
      </c>
      <c r="B629" s="1" t="s">
        <v>21</v>
      </c>
      <c r="C629" s="1" t="s">
        <v>19</v>
      </c>
      <c r="D629" s="1" t="s">
        <v>11</v>
      </c>
      <c r="E629" s="1" t="s">
        <v>12</v>
      </c>
      <c r="F629" s="1">
        <v>61</v>
      </c>
      <c r="G629" s="1">
        <v>48</v>
      </c>
      <c r="H629" s="1">
        <v>46</v>
      </c>
    </row>
    <row r="630" spans="1:8" x14ac:dyDescent="0.3">
      <c r="A630" s="1" t="s">
        <v>17</v>
      </c>
      <c r="B630" s="1" t="s">
        <v>21</v>
      </c>
      <c r="C630" s="1" t="s">
        <v>14</v>
      </c>
      <c r="D630" s="1" t="s">
        <v>20</v>
      </c>
      <c r="E630" s="1" t="s">
        <v>12</v>
      </c>
      <c r="F630" s="1">
        <v>49</v>
      </c>
      <c r="G630" s="1">
        <v>57</v>
      </c>
      <c r="H630" s="1">
        <v>46</v>
      </c>
    </row>
    <row r="631" spans="1:8" x14ac:dyDescent="0.3">
      <c r="A631" s="1" t="s">
        <v>8</v>
      </c>
      <c r="B631" s="1" t="s">
        <v>13</v>
      </c>
      <c r="C631" s="1" t="s">
        <v>23</v>
      </c>
      <c r="D631" s="1" t="s">
        <v>11</v>
      </c>
      <c r="E631" s="1" t="s">
        <v>15</v>
      </c>
      <c r="F631" s="1">
        <v>44</v>
      </c>
      <c r="G631" s="1">
        <v>51</v>
      </c>
      <c r="H631" s="1">
        <v>55</v>
      </c>
    </row>
    <row r="632" spans="1:8" x14ac:dyDescent="0.3">
      <c r="A632" s="1" t="s">
        <v>17</v>
      </c>
      <c r="B632" s="1" t="s">
        <v>21</v>
      </c>
      <c r="C632" s="1" t="s">
        <v>14</v>
      </c>
      <c r="D632" s="1" t="s">
        <v>11</v>
      </c>
      <c r="E632" s="1" t="s">
        <v>12</v>
      </c>
      <c r="F632" s="1">
        <v>67</v>
      </c>
      <c r="G632" s="1">
        <v>64</v>
      </c>
      <c r="H632" s="1">
        <v>70</v>
      </c>
    </row>
    <row r="633" spans="1:8" x14ac:dyDescent="0.3">
      <c r="A633" s="1" t="s">
        <v>17</v>
      </c>
      <c r="B633" s="1" t="s">
        <v>9</v>
      </c>
      <c r="C633" s="1" t="s">
        <v>22</v>
      </c>
      <c r="D633" s="1" t="s">
        <v>11</v>
      </c>
      <c r="E633" s="1" t="s">
        <v>12</v>
      </c>
      <c r="F633" s="1">
        <v>79</v>
      </c>
      <c r="G633" s="1">
        <v>60</v>
      </c>
      <c r="H633" s="1">
        <v>65</v>
      </c>
    </row>
    <row r="634" spans="1:8" x14ac:dyDescent="0.3">
      <c r="A634" s="1" t="s">
        <v>8</v>
      </c>
      <c r="B634" s="1" t="s">
        <v>9</v>
      </c>
      <c r="C634" s="1" t="s">
        <v>10</v>
      </c>
      <c r="D634" s="1" t="s">
        <v>11</v>
      </c>
      <c r="E634" s="1" t="s">
        <v>15</v>
      </c>
      <c r="F634" s="1">
        <v>66</v>
      </c>
      <c r="G634" s="1">
        <v>74</v>
      </c>
      <c r="H634" s="1">
        <v>81</v>
      </c>
    </row>
    <row r="635" spans="1:8" x14ac:dyDescent="0.3">
      <c r="A635" s="1" t="s">
        <v>8</v>
      </c>
      <c r="B635" s="1" t="s">
        <v>13</v>
      </c>
      <c r="C635" s="1" t="s">
        <v>22</v>
      </c>
      <c r="D635" s="1" t="s">
        <v>11</v>
      </c>
      <c r="E635" s="1" t="s">
        <v>12</v>
      </c>
      <c r="F635" s="1">
        <v>75</v>
      </c>
      <c r="G635" s="1">
        <v>88</v>
      </c>
      <c r="H635" s="1">
        <v>85</v>
      </c>
    </row>
    <row r="636" spans="1:8" x14ac:dyDescent="0.3">
      <c r="A636" s="1" t="s">
        <v>17</v>
      </c>
      <c r="B636" s="1" t="s">
        <v>21</v>
      </c>
      <c r="C636" s="1" t="s">
        <v>23</v>
      </c>
      <c r="D636" s="1" t="s">
        <v>11</v>
      </c>
      <c r="E636" s="1" t="s">
        <v>12</v>
      </c>
      <c r="F636" s="1">
        <v>84</v>
      </c>
      <c r="G636" s="1">
        <v>84</v>
      </c>
      <c r="H636" s="1">
        <v>80</v>
      </c>
    </row>
    <row r="637" spans="1:8" x14ac:dyDescent="0.3">
      <c r="A637" s="1" t="s">
        <v>17</v>
      </c>
      <c r="B637" s="1" t="s">
        <v>18</v>
      </c>
      <c r="C637" s="1" t="s">
        <v>22</v>
      </c>
      <c r="D637" s="1" t="s">
        <v>11</v>
      </c>
      <c r="E637" s="1" t="s">
        <v>12</v>
      </c>
      <c r="F637" s="1">
        <v>71</v>
      </c>
      <c r="G637" s="1">
        <v>74</v>
      </c>
      <c r="H637" s="1">
        <v>64</v>
      </c>
    </row>
    <row r="638" spans="1:8" x14ac:dyDescent="0.3">
      <c r="A638" s="1" t="s">
        <v>8</v>
      </c>
      <c r="B638" s="1" t="s">
        <v>9</v>
      </c>
      <c r="C638" s="1" t="s">
        <v>22</v>
      </c>
      <c r="D638" s="1" t="s">
        <v>20</v>
      </c>
      <c r="E638" s="1" t="s">
        <v>15</v>
      </c>
      <c r="F638" s="1">
        <v>67</v>
      </c>
      <c r="G638" s="1">
        <v>80</v>
      </c>
      <c r="H638" s="1">
        <v>81</v>
      </c>
    </row>
    <row r="639" spans="1:8" x14ac:dyDescent="0.3">
      <c r="A639" s="1" t="s">
        <v>8</v>
      </c>
      <c r="B639" s="1" t="s">
        <v>21</v>
      </c>
      <c r="C639" s="1" t="s">
        <v>23</v>
      </c>
      <c r="D639" s="1" t="s">
        <v>11</v>
      </c>
      <c r="E639" s="1" t="s">
        <v>15</v>
      </c>
      <c r="F639" s="1">
        <v>80</v>
      </c>
      <c r="G639" s="1">
        <v>92</v>
      </c>
      <c r="H639" s="1">
        <v>88</v>
      </c>
    </row>
    <row r="640" spans="1:8" x14ac:dyDescent="0.3">
      <c r="A640" s="1" t="s">
        <v>17</v>
      </c>
      <c r="B640" s="1" t="s">
        <v>24</v>
      </c>
      <c r="C640" s="1" t="s">
        <v>14</v>
      </c>
      <c r="D640" s="1" t="s">
        <v>11</v>
      </c>
      <c r="E640" s="1" t="s">
        <v>12</v>
      </c>
      <c r="F640" s="1">
        <v>86</v>
      </c>
      <c r="G640" s="1">
        <v>76</v>
      </c>
      <c r="H640" s="1">
        <v>74</v>
      </c>
    </row>
    <row r="641" spans="1:8" x14ac:dyDescent="0.3">
      <c r="A641" s="1" t="s">
        <v>8</v>
      </c>
      <c r="B641" s="1" t="s">
        <v>21</v>
      </c>
      <c r="C641" s="1" t="s">
        <v>19</v>
      </c>
      <c r="D641" s="1" t="s">
        <v>11</v>
      </c>
      <c r="E641" s="1" t="s">
        <v>12</v>
      </c>
      <c r="F641" s="1">
        <v>76</v>
      </c>
      <c r="G641" s="1">
        <v>74</v>
      </c>
      <c r="H641" s="1">
        <v>73</v>
      </c>
    </row>
    <row r="642" spans="1:8" x14ac:dyDescent="0.3">
      <c r="A642" s="1" t="s">
        <v>17</v>
      </c>
      <c r="B642" s="1" t="s">
        <v>21</v>
      </c>
      <c r="C642" s="1" t="s">
        <v>22</v>
      </c>
      <c r="D642" s="1" t="s">
        <v>11</v>
      </c>
      <c r="E642" s="1" t="s">
        <v>12</v>
      </c>
      <c r="F642" s="1">
        <v>41</v>
      </c>
      <c r="G642" s="1">
        <v>52</v>
      </c>
      <c r="H642" s="1">
        <v>51</v>
      </c>
    </row>
    <row r="643" spans="1:8" x14ac:dyDescent="0.3">
      <c r="A643" s="1" t="s">
        <v>8</v>
      </c>
      <c r="B643" s="1" t="s">
        <v>21</v>
      </c>
      <c r="C643" s="1" t="s">
        <v>19</v>
      </c>
      <c r="D643" s="1" t="s">
        <v>20</v>
      </c>
      <c r="E643" s="1" t="s">
        <v>15</v>
      </c>
      <c r="F643" s="1">
        <v>74</v>
      </c>
      <c r="G643" s="1">
        <v>88</v>
      </c>
      <c r="H643" s="1">
        <v>90</v>
      </c>
    </row>
    <row r="644" spans="1:8" x14ac:dyDescent="0.3">
      <c r="A644" s="1" t="s">
        <v>8</v>
      </c>
      <c r="B644" s="1" t="s">
        <v>9</v>
      </c>
      <c r="C644" s="1" t="s">
        <v>23</v>
      </c>
      <c r="D644" s="1" t="s">
        <v>20</v>
      </c>
      <c r="E644" s="1" t="s">
        <v>12</v>
      </c>
      <c r="F644" s="1">
        <v>72</v>
      </c>
      <c r="G644" s="1">
        <v>81</v>
      </c>
      <c r="H644" s="1">
        <v>79</v>
      </c>
    </row>
    <row r="645" spans="1:8" x14ac:dyDescent="0.3">
      <c r="A645" s="1" t="s">
        <v>8</v>
      </c>
      <c r="B645" s="1" t="s">
        <v>24</v>
      </c>
      <c r="C645" s="1" t="s">
        <v>22</v>
      </c>
      <c r="D645" s="1" t="s">
        <v>11</v>
      </c>
      <c r="E645" s="1" t="s">
        <v>15</v>
      </c>
      <c r="F645" s="1">
        <v>74</v>
      </c>
      <c r="G645" s="1">
        <v>79</v>
      </c>
      <c r="H645" s="1">
        <v>80</v>
      </c>
    </row>
    <row r="646" spans="1:8" x14ac:dyDescent="0.3">
      <c r="A646" s="1" t="s">
        <v>17</v>
      </c>
      <c r="B646" s="1" t="s">
        <v>9</v>
      </c>
      <c r="C646" s="1" t="s">
        <v>22</v>
      </c>
      <c r="D646" s="1" t="s">
        <v>11</v>
      </c>
      <c r="E646" s="1" t="s">
        <v>12</v>
      </c>
      <c r="F646" s="1">
        <v>70</v>
      </c>
      <c r="G646" s="1">
        <v>65</v>
      </c>
      <c r="H646" s="1">
        <v>60</v>
      </c>
    </row>
    <row r="647" spans="1:8" x14ac:dyDescent="0.3">
      <c r="A647" s="1" t="s">
        <v>8</v>
      </c>
      <c r="B647" s="1" t="s">
        <v>9</v>
      </c>
      <c r="C647" s="1" t="s">
        <v>10</v>
      </c>
      <c r="D647" s="1" t="s">
        <v>11</v>
      </c>
      <c r="E647" s="1" t="s">
        <v>15</v>
      </c>
      <c r="F647" s="1">
        <v>65</v>
      </c>
      <c r="G647" s="1">
        <v>81</v>
      </c>
      <c r="H647" s="1">
        <v>81</v>
      </c>
    </row>
    <row r="648" spans="1:8" x14ac:dyDescent="0.3">
      <c r="A648" s="1" t="s">
        <v>8</v>
      </c>
      <c r="B648" s="1" t="s">
        <v>21</v>
      </c>
      <c r="C648" s="1" t="s">
        <v>19</v>
      </c>
      <c r="D648" s="1" t="s">
        <v>11</v>
      </c>
      <c r="E648" s="1" t="s">
        <v>12</v>
      </c>
      <c r="F648" s="1">
        <v>59</v>
      </c>
      <c r="G648" s="1">
        <v>70</v>
      </c>
      <c r="H648" s="1">
        <v>65</v>
      </c>
    </row>
    <row r="649" spans="1:8" x14ac:dyDescent="0.3">
      <c r="A649" s="1" t="s">
        <v>8</v>
      </c>
      <c r="B649" s="1" t="s">
        <v>24</v>
      </c>
      <c r="C649" s="1" t="s">
        <v>22</v>
      </c>
      <c r="D649" s="1" t="s">
        <v>20</v>
      </c>
      <c r="E649" s="1" t="s">
        <v>12</v>
      </c>
      <c r="F649" s="1">
        <v>64</v>
      </c>
      <c r="G649" s="1">
        <v>62</v>
      </c>
      <c r="H649" s="1">
        <v>68</v>
      </c>
    </row>
    <row r="650" spans="1:8" x14ac:dyDescent="0.3">
      <c r="A650" s="1" t="s">
        <v>8</v>
      </c>
      <c r="B650" s="1" t="s">
        <v>9</v>
      </c>
      <c r="C650" s="1" t="s">
        <v>22</v>
      </c>
      <c r="D650" s="1" t="s">
        <v>11</v>
      </c>
      <c r="E650" s="1" t="s">
        <v>12</v>
      </c>
      <c r="F650" s="1">
        <v>50</v>
      </c>
      <c r="G650" s="1">
        <v>53</v>
      </c>
      <c r="H650" s="1">
        <v>55</v>
      </c>
    </row>
    <row r="651" spans="1:8" x14ac:dyDescent="0.3">
      <c r="A651" s="1" t="s">
        <v>8</v>
      </c>
      <c r="B651" s="1" t="s">
        <v>21</v>
      </c>
      <c r="C651" s="1" t="s">
        <v>14</v>
      </c>
      <c r="D651" s="1" t="s">
        <v>11</v>
      </c>
      <c r="E651" s="1" t="s">
        <v>15</v>
      </c>
      <c r="F651" s="1">
        <v>69</v>
      </c>
      <c r="G651" s="1">
        <v>79</v>
      </c>
      <c r="H651" s="1">
        <v>81</v>
      </c>
    </row>
    <row r="652" spans="1:8" x14ac:dyDescent="0.3">
      <c r="A652" s="1" t="s">
        <v>17</v>
      </c>
      <c r="B652" s="1" t="s">
        <v>13</v>
      </c>
      <c r="C652" s="1" t="s">
        <v>23</v>
      </c>
      <c r="D652" s="1" t="s">
        <v>20</v>
      </c>
      <c r="E652" s="1" t="s">
        <v>15</v>
      </c>
      <c r="F652" s="1">
        <v>51</v>
      </c>
      <c r="G652" s="1">
        <v>56</v>
      </c>
      <c r="H652" s="1">
        <v>53</v>
      </c>
    </row>
    <row r="653" spans="1:8" x14ac:dyDescent="0.3">
      <c r="A653" s="1" t="s">
        <v>8</v>
      </c>
      <c r="B653" s="1" t="s">
        <v>18</v>
      </c>
      <c r="C653" s="1" t="s">
        <v>22</v>
      </c>
      <c r="D653" s="1" t="s">
        <v>11</v>
      </c>
      <c r="E653" s="1" t="s">
        <v>15</v>
      </c>
      <c r="F653" s="1">
        <v>68</v>
      </c>
      <c r="G653" s="1">
        <v>80</v>
      </c>
      <c r="H653" s="1">
        <v>76</v>
      </c>
    </row>
    <row r="654" spans="1:8" x14ac:dyDescent="0.3">
      <c r="A654" s="1" t="s">
        <v>8</v>
      </c>
      <c r="B654" s="1" t="s">
        <v>21</v>
      </c>
      <c r="C654" s="1" t="s">
        <v>14</v>
      </c>
      <c r="D654" s="1" t="s">
        <v>11</v>
      </c>
      <c r="E654" s="1" t="s">
        <v>15</v>
      </c>
      <c r="F654" s="1">
        <v>85</v>
      </c>
      <c r="G654" s="1">
        <v>86</v>
      </c>
      <c r="H654" s="1">
        <v>98</v>
      </c>
    </row>
    <row r="655" spans="1:8" x14ac:dyDescent="0.3">
      <c r="A655" s="1" t="s">
        <v>8</v>
      </c>
      <c r="B655" s="1" t="s">
        <v>18</v>
      </c>
      <c r="C655" s="1" t="s">
        <v>19</v>
      </c>
      <c r="D655" s="1" t="s">
        <v>11</v>
      </c>
      <c r="E655" s="1" t="s">
        <v>15</v>
      </c>
      <c r="F655" s="1">
        <v>65</v>
      </c>
      <c r="G655" s="1">
        <v>70</v>
      </c>
      <c r="H655" s="1">
        <v>74</v>
      </c>
    </row>
    <row r="656" spans="1:8" x14ac:dyDescent="0.3">
      <c r="A656" s="1" t="s">
        <v>8</v>
      </c>
      <c r="B656" s="1" t="s">
        <v>9</v>
      </c>
      <c r="C656" s="1" t="s">
        <v>23</v>
      </c>
      <c r="D656" s="1" t="s">
        <v>11</v>
      </c>
      <c r="E656" s="1" t="s">
        <v>12</v>
      </c>
      <c r="F656" s="1">
        <v>73</v>
      </c>
      <c r="G656" s="1">
        <v>79</v>
      </c>
      <c r="H656" s="1">
        <v>79</v>
      </c>
    </row>
    <row r="657" spans="1:8" x14ac:dyDescent="0.3">
      <c r="A657" s="1" t="s">
        <v>8</v>
      </c>
      <c r="B657" s="1" t="s">
        <v>9</v>
      </c>
      <c r="C657" s="1" t="s">
        <v>14</v>
      </c>
      <c r="D657" s="1" t="s">
        <v>11</v>
      </c>
      <c r="E657" s="1" t="s">
        <v>12</v>
      </c>
      <c r="F657" s="1">
        <v>62</v>
      </c>
      <c r="G657" s="1">
        <v>67</v>
      </c>
      <c r="H657" s="1">
        <v>67</v>
      </c>
    </row>
    <row r="658" spans="1:8" x14ac:dyDescent="0.3">
      <c r="A658" s="1" t="s">
        <v>17</v>
      </c>
      <c r="B658" s="1" t="s">
        <v>13</v>
      </c>
      <c r="C658" s="1" t="s">
        <v>19</v>
      </c>
      <c r="D658" s="1" t="s">
        <v>20</v>
      </c>
      <c r="E658" s="1" t="s">
        <v>12</v>
      </c>
      <c r="F658" s="1">
        <v>77</v>
      </c>
      <c r="G658" s="1">
        <v>67</v>
      </c>
      <c r="H658" s="1">
        <v>64</v>
      </c>
    </row>
    <row r="659" spans="1:8" x14ac:dyDescent="0.3">
      <c r="A659" s="1" t="s">
        <v>17</v>
      </c>
      <c r="B659" s="1" t="s">
        <v>21</v>
      </c>
      <c r="C659" s="1" t="s">
        <v>23</v>
      </c>
      <c r="D659" s="1" t="s">
        <v>11</v>
      </c>
      <c r="E659" s="1" t="s">
        <v>12</v>
      </c>
      <c r="F659" s="1">
        <v>69</v>
      </c>
      <c r="G659" s="1">
        <v>66</v>
      </c>
      <c r="H659" s="1">
        <v>61</v>
      </c>
    </row>
    <row r="660" spans="1:8" x14ac:dyDescent="0.3">
      <c r="A660" s="1" t="s">
        <v>8</v>
      </c>
      <c r="B660" s="1" t="s">
        <v>21</v>
      </c>
      <c r="C660" s="1" t="s">
        <v>19</v>
      </c>
      <c r="D660" s="1" t="s">
        <v>20</v>
      </c>
      <c r="E660" s="1" t="s">
        <v>12</v>
      </c>
      <c r="F660" s="1">
        <v>43</v>
      </c>
      <c r="G660" s="1">
        <v>60</v>
      </c>
      <c r="H660" s="1">
        <v>58</v>
      </c>
    </row>
    <row r="661" spans="1:8" x14ac:dyDescent="0.3">
      <c r="A661" s="1" t="s">
        <v>17</v>
      </c>
      <c r="B661" s="1" t="s">
        <v>21</v>
      </c>
      <c r="C661" s="1" t="s">
        <v>19</v>
      </c>
      <c r="D661" s="1" t="s">
        <v>11</v>
      </c>
      <c r="E661" s="1" t="s">
        <v>12</v>
      </c>
      <c r="F661" s="1">
        <v>90</v>
      </c>
      <c r="G661" s="1">
        <v>87</v>
      </c>
      <c r="H661" s="1">
        <v>85</v>
      </c>
    </row>
    <row r="662" spans="1:8" x14ac:dyDescent="0.3">
      <c r="A662" s="1" t="s">
        <v>17</v>
      </c>
      <c r="B662" s="1" t="s">
        <v>13</v>
      </c>
      <c r="C662" s="1" t="s">
        <v>14</v>
      </c>
      <c r="D662" s="1" t="s">
        <v>20</v>
      </c>
      <c r="E662" s="1" t="s">
        <v>12</v>
      </c>
      <c r="F662" s="1">
        <v>74</v>
      </c>
      <c r="G662" s="1">
        <v>77</v>
      </c>
      <c r="H662" s="1">
        <v>73</v>
      </c>
    </row>
    <row r="663" spans="1:8" x14ac:dyDescent="0.3">
      <c r="A663" s="1" t="s">
        <v>17</v>
      </c>
      <c r="B663" s="1" t="s">
        <v>13</v>
      </c>
      <c r="C663" s="1" t="s">
        <v>23</v>
      </c>
      <c r="D663" s="1" t="s">
        <v>11</v>
      </c>
      <c r="E663" s="1" t="s">
        <v>12</v>
      </c>
      <c r="F663" s="1">
        <v>73</v>
      </c>
      <c r="G663" s="1">
        <v>66</v>
      </c>
      <c r="H663" s="1">
        <v>63</v>
      </c>
    </row>
    <row r="664" spans="1:8" x14ac:dyDescent="0.3">
      <c r="A664" s="1" t="s">
        <v>8</v>
      </c>
      <c r="B664" s="1" t="s">
        <v>21</v>
      </c>
      <c r="C664" s="1" t="s">
        <v>14</v>
      </c>
      <c r="D664" s="1" t="s">
        <v>20</v>
      </c>
      <c r="E664" s="1" t="s">
        <v>12</v>
      </c>
      <c r="F664" s="1">
        <v>55</v>
      </c>
      <c r="G664" s="1">
        <v>71</v>
      </c>
      <c r="H664" s="1">
        <v>69</v>
      </c>
    </row>
    <row r="665" spans="1:8" x14ac:dyDescent="0.3">
      <c r="A665" s="1" t="s">
        <v>8</v>
      </c>
      <c r="B665" s="1" t="s">
        <v>13</v>
      </c>
      <c r="C665" s="1" t="s">
        <v>22</v>
      </c>
      <c r="D665" s="1" t="s">
        <v>11</v>
      </c>
      <c r="E665" s="1" t="s">
        <v>12</v>
      </c>
      <c r="F665" s="1">
        <v>65</v>
      </c>
      <c r="G665" s="1">
        <v>69</v>
      </c>
      <c r="H665" s="1">
        <v>67</v>
      </c>
    </row>
    <row r="666" spans="1:8" x14ac:dyDescent="0.3">
      <c r="A666" s="1" t="s">
        <v>17</v>
      </c>
      <c r="B666" s="1" t="s">
        <v>21</v>
      </c>
      <c r="C666" s="1" t="s">
        <v>19</v>
      </c>
      <c r="D666" s="1" t="s">
        <v>11</v>
      </c>
      <c r="E666" s="1" t="s">
        <v>12</v>
      </c>
      <c r="F666" s="1">
        <v>80</v>
      </c>
      <c r="G666" s="1">
        <v>63</v>
      </c>
      <c r="H666" s="1">
        <v>63</v>
      </c>
    </row>
    <row r="667" spans="1:8" x14ac:dyDescent="0.3">
      <c r="A667" s="1" t="s">
        <v>8</v>
      </c>
      <c r="B667" s="1" t="s">
        <v>13</v>
      </c>
      <c r="C667" s="1" t="s">
        <v>23</v>
      </c>
      <c r="D667" s="1" t="s">
        <v>20</v>
      </c>
      <c r="E667" s="1" t="s">
        <v>15</v>
      </c>
      <c r="F667" s="1">
        <v>50</v>
      </c>
      <c r="G667" s="1">
        <v>60</v>
      </c>
      <c r="H667" s="1">
        <v>60</v>
      </c>
    </row>
    <row r="668" spans="1:8" x14ac:dyDescent="0.3">
      <c r="A668" s="1" t="s">
        <v>8</v>
      </c>
      <c r="B668" s="1" t="s">
        <v>13</v>
      </c>
      <c r="C668" s="1" t="s">
        <v>14</v>
      </c>
      <c r="D668" s="1" t="s">
        <v>20</v>
      </c>
      <c r="E668" s="1" t="s">
        <v>15</v>
      </c>
      <c r="F668" s="1">
        <v>63</v>
      </c>
      <c r="G668" s="1">
        <v>73</v>
      </c>
      <c r="H668" s="1">
        <v>71</v>
      </c>
    </row>
    <row r="669" spans="1:8" x14ac:dyDescent="0.3">
      <c r="A669" s="1" t="s">
        <v>8</v>
      </c>
      <c r="B669" s="1" t="s">
        <v>9</v>
      </c>
      <c r="C669" s="1" t="s">
        <v>10</v>
      </c>
      <c r="D669" s="1" t="s">
        <v>20</v>
      </c>
      <c r="E669" s="1" t="s">
        <v>12</v>
      </c>
      <c r="F669" s="1">
        <v>77</v>
      </c>
      <c r="G669" s="1">
        <v>85</v>
      </c>
      <c r="H669" s="1">
        <v>87</v>
      </c>
    </row>
    <row r="670" spans="1:8" x14ac:dyDescent="0.3">
      <c r="A670" s="1" t="s">
        <v>17</v>
      </c>
      <c r="B670" s="1" t="s">
        <v>13</v>
      </c>
      <c r="C670" s="1" t="s">
        <v>14</v>
      </c>
      <c r="D670" s="1" t="s">
        <v>11</v>
      </c>
      <c r="E670" s="1" t="s">
        <v>12</v>
      </c>
      <c r="F670" s="1">
        <v>73</v>
      </c>
      <c r="G670" s="1">
        <v>74</v>
      </c>
      <c r="H670" s="1">
        <v>61</v>
      </c>
    </row>
    <row r="671" spans="1:8" x14ac:dyDescent="0.3">
      <c r="A671" s="1" t="s">
        <v>17</v>
      </c>
      <c r="B671" s="1" t="s">
        <v>21</v>
      </c>
      <c r="C671" s="1" t="s">
        <v>19</v>
      </c>
      <c r="D671" s="1" t="s">
        <v>11</v>
      </c>
      <c r="E671" s="1" t="s">
        <v>15</v>
      </c>
      <c r="F671" s="1">
        <v>81</v>
      </c>
      <c r="G671" s="1">
        <v>72</v>
      </c>
      <c r="H671" s="1">
        <v>77</v>
      </c>
    </row>
    <row r="672" spans="1:8" x14ac:dyDescent="0.3">
      <c r="A672" s="1" t="s">
        <v>8</v>
      </c>
      <c r="B672" s="1" t="s">
        <v>13</v>
      </c>
      <c r="C672" s="1" t="s">
        <v>22</v>
      </c>
      <c r="D672" s="1" t="s">
        <v>20</v>
      </c>
      <c r="E672" s="1" t="s">
        <v>12</v>
      </c>
      <c r="F672" s="1">
        <v>66</v>
      </c>
      <c r="G672" s="1">
        <v>76</v>
      </c>
      <c r="H672" s="1">
        <v>68</v>
      </c>
    </row>
    <row r="673" spans="1:8" x14ac:dyDescent="0.3">
      <c r="A673" s="1" t="s">
        <v>17</v>
      </c>
      <c r="B673" s="1" t="s">
        <v>21</v>
      </c>
      <c r="C673" s="1" t="s">
        <v>19</v>
      </c>
      <c r="D673" s="1" t="s">
        <v>20</v>
      </c>
      <c r="E673" s="1" t="s">
        <v>12</v>
      </c>
      <c r="F673" s="1">
        <v>52</v>
      </c>
      <c r="G673" s="1">
        <v>57</v>
      </c>
      <c r="H673" s="1">
        <v>50</v>
      </c>
    </row>
    <row r="674" spans="1:8" x14ac:dyDescent="0.3">
      <c r="A674" s="1" t="s">
        <v>8</v>
      </c>
      <c r="B674" s="1" t="s">
        <v>13</v>
      </c>
      <c r="C674" s="1" t="s">
        <v>14</v>
      </c>
      <c r="D674" s="1" t="s">
        <v>11</v>
      </c>
      <c r="E674" s="1" t="s">
        <v>12</v>
      </c>
      <c r="F674" s="1">
        <v>69</v>
      </c>
      <c r="G674" s="1">
        <v>78</v>
      </c>
      <c r="H674" s="1">
        <v>76</v>
      </c>
    </row>
    <row r="675" spans="1:8" x14ac:dyDescent="0.3">
      <c r="A675" s="1" t="s">
        <v>8</v>
      </c>
      <c r="B675" s="1" t="s">
        <v>13</v>
      </c>
      <c r="C675" s="1" t="s">
        <v>19</v>
      </c>
      <c r="D675" s="1" t="s">
        <v>11</v>
      </c>
      <c r="E675" s="1" t="s">
        <v>15</v>
      </c>
      <c r="F675" s="1">
        <v>65</v>
      </c>
      <c r="G675" s="1">
        <v>84</v>
      </c>
      <c r="H675" s="1">
        <v>84</v>
      </c>
    </row>
    <row r="676" spans="1:8" x14ac:dyDescent="0.3">
      <c r="A676" s="1" t="s">
        <v>8</v>
      </c>
      <c r="B676" s="1" t="s">
        <v>21</v>
      </c>
      <c r="C676" s="1" t="s">
        <v>22</v>
      </c>
      <c r="D676" s="1" t="s">
        <v>11</v>
      </c>
      <c r="E676" s="1" t="s">
        <v>15</v>
      </c>
      <c r="F676" s="1">
        <v>69</v>
      </c>
      <c r="G676" s="1">
        <v>77</v>
      </c>
      <c r="H676" s="1">
        <v>78</v>
      </c>
    </row>
    <row r="677" spans="1:8" x14ac:dyDescent="0.3">
      <c r="A677" s="1" t="s">
        <v>8</v>
      </c>
      <c r="B677" s="1" t="s">
        <v>9</v>
      </c>
      <c r="C677" s="1" t="s">
        <v>14</v>
      </c>
      <c r="D677" s="1" t="s">
        <v>11</v>
      </c>
      <c r="E677" s="1" t="s">
        <v>15</v>
      </c>
      <c r="F677" s="1">
        <v>50</v>
      </c>
      <c r="G677" s="1">
        <v>64</v>
      </c>
      <c r="H677" s="1">
        <v>66</v>
      </c>
    </row>
    <row r="678" spans="1:8" x14ac:dyDescent="0.3">
      <c r="A678" s="1" t="s">
        <v>8</v>
      </c>
      <c r="B678" s="1" t="s">
        <v>24</v>
      </c>
      <c r="C678" s="1" t="s">
        <v>14</v>
      </c>
      <c r="D678" s="1" t="s">
        <v>11</v>
      </c>
      <c r="E678" s="1" t="s">
        <v>15</v>
      </c>
      <c r="F678" s="1">
        <v>73</v>
      </c>
      <c r="G678" s="1">
        <v>78</v>
      </c>
      <c r="H678" s="1">
        <v>76</v>
      </c>
    </row>
    <row r="679" spans="1:8" x14ac:dyDescent="0.3">
      <c r="A679" s="1" t="s">
        <v>8</v>
      </c>
      <c r="B679" s="1" t="s">
        <v>13</v>
      </c>
      <c r="C679" s="1" t="s">
        <v>23</v>
      </c>
      <c r="D679" s="1" t="s">
        <v>11</v>
      </c>
      <c r="E679" s="1" t="s">
        <v>15</v>
      </c>
      <c r="F679" s="1">
        <v>70</v>
      </c>
      <c r="G679" s="1">
        <v>82</v>
      </c>
      <c r="H679" s="1">
        <v>76</v>
      </c>
    </row>
    <row r="680" spans="1:8" x14ac:dyDescent="0.3">
      <c r="A680" s="1" t="s">
        <v>17</v>
      </c>
      <c r="B680" s="1" t="s">
        <v>21</v>
      </c>
      <c r="C680" s="1" t="s">
        <v>19</v>
      </c>
      <c r="D680" s="1" t="s">
        <v>20</v>
      </c>
      <c r="E680" s="1" t="s">
        <v>12</v>
      </c>
      <c r="F680" s="1">
        <v>81</v>
      </c>
      <c r="G680" s="1">
        <v>75</v>
      </c>
      <c r="H680" s="1">
        <v>78</v>
      </c>
    </row>
    <row r="681" spans="1:8" x14ac:dyDescent="0.3">
      <c r="A681" s="1" t="s">
        <v>17</v>
      </c>
      <c r="B681" s="1" t="s">
        <v>21</v>
      </c>
      <c r="C681" s="1" t="s">
        <v>14</v>
      </c>
      <c r="D681" s="1" t="s">
        <v>20</v>
      </c>
      <c r="E681" s="1" t="s">
        <v>12</v>
      </c>
      <c r="F681" s="1">
        <v>63</v>
      </c>
      <c r="G681" s="1">
        <v>61</v>
      </c>
      <c r="H681" s="1">
        <v>60</v>
      </c>
    </row>
    <row r="682" spans="1:8" x14ac:dyDescent="0.3">
      <c r="A682" s="1" t="s">
        <v>8</v>
      </c>
      <c r="B682" s="1" t="s">
        <v>21</v>
      </c>
      <c r="C682" s="1" t="s">
        <v>22</v>
      </c>
      <c r="D682" s="1" t="s">
        <v>11</v>
      </c>
      <c r="E682" s="1" t="s">
        <v>12</v>
      </c>
      <c r="F682" s="1">
        <v>67</v>
      </c>
      <c r="G682" s="1">
        <v>72</v>
      </c>
      <c r="H682" s="1">
        <v>74</v>
      </c>
    </row>
    <row r="683" spans="1:8" x14ac:dyDescent="0.3">
      <c r="A683" s="1" t="s">
        <v>17</v>
      </c>
      <c r="B683" s="1" t="s">
        <v>9</v>
      </c>
      <c r="C683" s="1" t="s">
        <v>22</v>
      </c>
      <c r="D683" s="1" t="s">
        <v>11</v>
      </c>
      <c r="E683" s="1" t="s">
        <v>12</v>
      </c>
      <c r="F683" s="1">
        <v>60</v>
      </c>
      <c r="G683" s="1">
        <v>68</v>
      </c>
      <c r="H683" s="1">
        <v>60</v>
      </c>
    </row>
    <row r="684" spans="1:8" x14ac:dyDescent="0.3">
      <c r="A684" s="1" t="s">
        <v>17</v>
      </c>
      <c r="B684" s="1" t="s">
        <v>9</v>
      </c>
      <c r="C684" s="1" t="s">
        <v>22</v>
      </c>
      <c r="D684" s="1" t="s">
        <v>11</v>
      </c>
      <c r="E684" s="1" t="s">
        <v>12</v>
      </c>
      <c r="F684" s="1">
        <v>62</v>
      </c>
      <c r="G684" s="1">
        <v>55</v>
      </c>
      <c r="H684" s="1">
        <v>54</v>
      </c>
    </row>
    <row r="685" spans="1:8" x14ac:dyDescent="0.3">
      <c r="A685" s="1" t="s">
        <v>8</v>
      </c>
      <c r="B685" s="1" t="s">
        <v>13</v>
      </c>
      <c r="C685" s="1" t="s">
        <v>23</v>
      </c>
      <c r="D685" s="1" t="s">
        <v>20</v>
      </c>
      <c r="E685" s="1" t="s">
        <v>15</v>
      </c>
      <c r="F685" s="1">
        <v>29</v>
      </c>
      <c r="G685" s="1">
        <v>40</v>
      </c>
      <c r="H685" s="1">
        <v>44</v>
      </c>
    </row>
    <row r="686" spans="1:8" x14ac:dyDescent="0.3">
      <c r="A686" s="1" t="s">
        <v>17</v>
      </c>
      <c r="B686" s="1" t="s">
        <v>9</v>
      </c>
      <c r="C686" s="1" t="s">
        <v>14</v>
      </c>
      <c r="D686" s="1" t="s">
        <v>11</v>
      </c>
      <c r="E686" s="1" t="s">
        <v>15</v>
      </c>
      <c r="F686" s="1">
        <v>62</v>
      </c>
      <c r="G686" s="1">
        <v>66</v>
      </c>
      <c r="H686" s="1">
        <v>68</v>
      </c>
    </row>
    <row r="687" spans="1:8" x14ac:dyDescent="0.3">
      <c r="A687" s="1" t="s">
        <v>8</v>
      </c>
      <c r="B687" s="1" t="s">
        <v>24</v>
      </c>
      <c r="C687" s="1" t="s">
        <v>16</v>
      </c>
      <c r="D687" s="1" t="s">
        <v>11</v>
      </c>
      <c r="E687" s="1" t="s">
        <v>15</v>
      </c>
      <c r="F687" s="1">
        <v>94</v>
      </c>
      <c r="G687" s="1">
        <v>99</v>
      </c>
      <c r="H687" s="1">
        <v>100</v>
      </c>
    </row>
    <row r="688" spans="1:8" x14ac:dyDescent="0.3">
      <c r="A688" s="1" t="s">
        <v>17</v>
      </c>
      <c r="B688" s="1" t="s">
        <v>24</v>
      </c>
      <c r="C688" s="1" t="s">
        <v>14</v>
      </c>
      <c r="D688" s="1" t="s">
        <v>11</v>
      </c>
      <c r="E688" s="1" t="s">
        <v>15</v>
      </c>
      <c r="F688" s="1">
        <v>85</v>
      </c>
      <c r="G688" s="1">
        <v>75</v>
      </c>
      <c r="H688" s="1">
        <v>68</v>
      </c>
    </row>
    <row r="689" spans="1:8" x14ac:dyDescent="0.3">
      <c r="A689" s="1" t="s">
        <v>17</v>
      </c>
      <c r="B689" s="1" t="s">
        <v>21</v>
      </c>
      <c r="C689" s="1" t="s">
        <v>19</v>
      </c>
      <c r="D689" s="1" t="s">
        <v>20</v>
      </c>
      <c r="E689" s="1" t="s">
        <v>12</v>
      </c>
      <c r="F689" s="1">
        <v>77</v>
      </c>
      <c r="G689" s="1">
        <v>78</v>
      </c>
      <c r="H689" s="1">
        <v>73</v>
      </c>
    </row>
    <row r="690" spans="1:8" x14ac:dyDescent="0.3">
      <c r="A690" s="1" t="s">
        <v>17</v>
      </c>
      <c r="B690" s="1" t="s">
        <v>18</v>
      </c>
      <c r="C690" s="1" t="s">
        <v>22</v>
      </c>
      <c r="D690" s="1" t="s">
        <v>20</v>
      </c>
      <c r="E690" s="1" t="s">
        <v>12</v>
      </c>
      <c r="F690" s="1">
        <v>53</v>
      </c>
      <c r="G690" s="1">
        <v>58</v>
      </c>
      <c r="H690" s="1">
        <v>44</v>
      </c>
    </row>
    <row r="691" spans="1:8" x14ac:dyDescent="0.3">
      <c r="A691" s="1" t="s">
        <v>17</v>
      </c>
      <c r="B691" s="1" t="s">
        <v>24</v>
      </c>
      <c r="C691" s="1" t="s">
        <v>14</v>
      </c>
      <c r="D691" s="1" t="s">
        <v>20</v>
      </c>
      <c r="E691" s="1" t="s">
        <v>12</v>
      </c>
      <c r="F691" s="1">
        <v>93</v>
      </c>
      <c r="G691" s="1">
        <v>90</v>
      </c>
      <c r="H691" s="1">
        <v>83</v>
      </c>
    </row>
    <row r="692" spans="1:8" x14ac:dyDescent="0.3">
      <c r="A692" s="1" t="s">
        <v>8</v>
      </c>
      <c r="B692" s="1" t="s">
        <v>13</v>
      </c>
      <c r="C692" s="1" t="s">
        <v>19</v>
      </c>
      <c r="D692" s="1" t="s">
        <v>11</v>
      </c>
      <c r="E692" s="1" t="s">
        <v>12</v>
      </c>
      <c r="F692" s="1">
        <v>49</v>
      </c>
      <c r="G692" s="1">
        <v>53</v>
      </c>
      <c r="H692" s="1">
        <v>53</v>
      </c>
    </row>
    <row r="693" spans="1:8" x14ac:dyDescent="0.3">
      <c r="A693" s="1" t="s">
        <v>8</v>
      </c>
      <c r="B693" s="1" t="s">
        <v>24</v>
      </c>
      <c r="C693" s="1" t="s">
        <v>19</v>
      </c>
      <c r="D693" s="1" t="s">
        <v>20</v>
      </c>
      <c r="E693" s="1" t="s">
        <v>12</v>
      </c>
      <c r="F693" s="1">
        <v>73</v>
      </c>
      <c r="G693" s="1">
        <v>76</v>
      </c>
      <c r="H693" s="1">
        <v>78</v>
      </c>
    </row>
    <row r="694" spans="1:8" x14ac:dyDescent="0.3">
      <c r="A694" s="1" t="s">
        <v>8</v>
      </c>
      <c r="B694" s="1" t="s">
        <v>13</v>
      </c>
      <c r="C694" s="1" t="s">
        <v>10</v>
      </c>
      <c r="D694" s="1" t="s">
        <v>20</v>
      </c>
      <c r="E694" s="1" t="s">
        <v>15</v>
      </c>
      <c r="F694" s="1">
        <v>66</v>
      </c>
      <c r="G694" s="1">
        <v>74</v>
      </c>
      <c r="H694" s="1">
        <v>81</v>
      </c>
    </row>
    <row r="695" spans="1:8" x14ac:dyDescent="0.3">
      <c r="A695" s="1" t="s">
        <v>8</v>
      </c>
      <c r="B695" s="1" t="s">
        <v>21</v>
      </c>
      <c r="C695" s="1" t="s">
        <v>19</v>
      </c>
      <c r="D695" s="1" t="s">
        <v>11</v>
      </c>
      <c r="E695" s="1" t="s">
        <v>12</v>
      </c>
      <c r="F695" s="1">
        <v>77</v>
      </c>
      <c r="G695" s="1">
        <v>77</v>
      </c>
      <c r="H695" s="1">
        <v>73</v>
      </c>
    </row>
    <row r="696" spans="1:8" x14ac:dyDescent="0.3">
      <c r="A696" s="1" t="s">
        <v>8</v>
      </c>
      <c r="B696" s="1" t="s">
        <v>13</v>
      </c>
      <c r="C696" s="1" t="s">
        <v>23</v>
      </c>
      <c r="D696" s="1" t="s">
        <v>11</v>
      </c>
      <c r="E696" s="1" t="s">
        <v>12</v>
      </c>
      <c r="F696" s="1">
        <v>49</v>
      </c>
      <c r="G696" s="1">
        <v>63</v>
      </c>
      <c r="H696" s="1">
        <v>56</v>
      </c>
    </row>
    <row r="697" spans="1:8" x14ac:dyDescent="0.3">
      <c r="A697" s="1" t="s">
        <v>8</v>
      </c>
      <c r="B697" s="1" t="s">
        <v>21</v>
      </c>
      <c r="C697" s="1" t="s">
        <v>14</v>
      </c>
      <c r="D697" s="1" t="s">
        <v>20</v>
      </c>
      <c r="E697" s="1" t="s">
        <v>12</v>
      </c>
      <c r="F697" s="1">
        <v>79</v>
      </c>
      <c r="G697" s="1">
        <v>89</v>
      </c>
      <c r="H697" s="1">
        <v>86</v>
      </c>
    </row>
    <row r="698" spans="1:8" x14ac:dyDescent="0.3">
      <c r="A698" s="1" t="s">
        <v>8</v>
      </c>
      <c r="B698" s="1" t="s">
        <v>13</v>
      </c>
      <c r="C698" s="1" t="s">
        <v>19</v>
      </c>
      <c r="D698" s="1" t="s">
        <v>11</v>
      </c>
      <c r="E698" s="1" t="s">
        <v>15</v>
      </c>
      <c r="F698" s="1">
        <v>75</v>
      </c>
      <c r="G698" s="1">
        <v>82</v>
      </c>
      <c r="H698" s="1">
        <v>90</v>
      </c>
    </row>
    <row r="699" spans="1:8" x14ac:dyDescent="0.3">
      <c r="A699" s="1" t="s">
        <v>8</v>
      </c>
      <c r="B699" s="1" t="s">
        <v>18</v>
      </c>
      <c r="C699" s="1" t="s">
        <v>10</v>
      </c>
      <c r="D699" s="1" t="s">
        <v>11</v>
      </c>
      <c r="E699" s="1" t="s">
        <v>12</v>
      </c>
      <c r="F699" s="1">
        <v>59</v>
      </c>
      <c r="G699" s="1">
        <v>72</v>
      </c>
      <c r="H699" s="1">
        <v>70</v>
      </c>
    </row>
    <row r="700" spans="1:8" x14ac:dyDescent="0.3">
      <c r="A700" s="1" t="s">
        <v>8</v>
      </c>
      <c r="B700" s="1" t="s">
        <v>21</v>
      </c>
      <c r="C700" s="1" t="s">
        <v>19</v>
      </c>
      <c r="D700" s="1" t="s">
        <v>11</v>
      </c>
      <c r="E700" s="1" t="s">
        <v>15</v>
      </c>
      <c r="F700" s="1">
        <v>57</v>
      </c>
      <c r="G700" s="1">
        <v>78</v>
      </c>
      <c r="H700" s="1">
        <v>79</v>
      </c>
    </row>
    <row r="701" spans="1:8" x14ac:dyDescent="0.3">
      <c r="A701" s="1" t="s">
        <v>17</v>
      </c>
      <c r="B701" s="1" t="s">
        <v>13</v>
      </c>
      <c r="C701" s="1" t="s">
        <v>22</v>
      </c>
      <c r="D701" s="1" t="s">
        <v>20</v>
      </c>
      <c r="E701" s="1" t="s">
        <v>12</v>
      </c>
      <c r="F701" s="1">
        <v>66</v>
      </c>
      <c r="G701" s="1">
        <v>66</v>
      </c>
      <c r="H701" s="1">
        <v>59</v>
      </c>
    </row>
    <row r="702" spans="1:8" x14ac:dyDescent="0.3">
      <c r="A702" s="1" t="s">
        <v>8</v>
      </c>
      <c r="B702" s="1" t="s">
        <v>24</v>
      </c>
      <c r="C702" s="1" t="s">
        <v>10</v>
      </c>
      <c r="D702" s="1" t="s">
        <v>11</v>
      </c>
      <c r="E702" s="1" t="s">
        <v>15</v>
      </c>
      <c r="F702" s="1">
        <v>79</v>
      </c>
      <c r="G702" s="1">
        <v>81</v>
      </c>
      <c r="H702" s="1">
        <v>82</v>
      </c>
    </row>
    <row r="703" spans="1:8" x14ac:dyDescent="0.3">
      <c r="A703" s="1" t="s">
        <v>8</v>
      </c>
      <c r="B703" s="1" t="s">
        <v>9</v>
      </c>
      <c r="C703" s="1" t="s">
        <v>23</v>
      </c>
      <c r="D703" s="1" t="s">
        <v>11</v>
      </c>
      <c r="E703" s="1" t="s">
        <v>12</v>
      </c>
      <c r="F703" s="1">
        <v>57</v>
      </c>
      <c r="G703" s="1">
        <v>67</v>
      </c>
      <c r="H703" s="1">
        <v>72</v>
      </c>
    </row>
    <row r="704" spans="1:8" x14ac:dyDescent="0.3">
      <c r="A704" s="1" t="s">
        <v>17</v>
      </c>
      <c r="B704" s="1" t="s">
        <v>18</v>
      </c>
      <c r="C704" s="1" t="s">
        <v>10</v>
      </c>
      <c r="D704" s="1" t="s">
        <v>11</v>
      </c>
      <c r="E704" s="1" t="s">
        <v>15</v>
      </c>
      <c r="F704" s="1">
        <v>87</v>
      </c>
      <c r="G704" s="1">
        <v>84</v>
      </c>
      <c r="H704" s="1">
        <v>87</v>
      </c>
    </row>
    <row r="705" spans="1:8" x14ac:dyDescent="0.3">
      <c r="A705" s="1" t="s">
        <v>8</v>
      </c>
      <c r="B705" s="1" t="s">
        <v>21</v>
      </c>
      <c r="C705" s="1" t="s">
        <v>14</v>
      </c>
      <c r="D705" s="1" t="s">
        <v>11</v>
      </c>
      <c r="E705" s="1" t="s">
        <v>12</v>
      </c>
      <c r="F705" s="1">
        <v>63</v>
      </c>
      <c r="G705" s="1">
        <v>64</v>
      </c>
      <c r="H705" s="1">
        <v>67</v>
      </c>
    </row>
    <row r="706" spans="1:8" x14ac:dyDescent="0.3">
      <c r="A706" s="1" t="s">
        <v>8</v>
      </c>
      <c r="B706" s="1" t="s">
        <v>9</v>
      </c>
      <c r="C706" s="1" t="s">
        <v>23</v>
      </c>
      <c r="D706" s="1" t="s">
        <v>20</v>
      </c>
      <c r="E706" s="1" t="s">
        <v>15</v>
      </c>
      <c r="F706" s="1">
        <v>59</v>
      </c>
      <c r="G706" s="1">
        <v>63</v>
      </c>
      <c r="H706" s="1">
        <v>64</v>
      </c>
    </row>
    <row r="707" spans="1:8" x14ac:dyDescent="0.3">
      <c r="A707" s="1" t="s">
        <v>17</v>
      </c>
      <c r="B707" s="1" t="s">
        <v>18</v>
      </c>
      <c r="C707" s="1" t="s">
        <v>10</v>
      </c>
      <c r="D707" s="1" t="s">
        <v>20</v>
      </c>
      <c r="E707" s="1" t="s">
        <v>12</v>
      </c>
      <c r="F707" s="1">
        <v>62</v>
      </c>
      <c r="G707" s="1">
        <v>72</v>
      </c>
      <c r="H707" s="1">
        <v>65</v>
      </c>
    </row>
    <row r="708" spans="1:8" x14ac:dyDescent="0.3">
      <c r="A708" s="1" t="s">
        <v>17</v>
      </c>
      <c r="B708" s="1" t="s">
        <v>21</v>
      </c>
      <c r="C708" s="1" t="s">
        <v>22</v>
      </c>
      <c r="D708" s="1" t="s">
        <v>11</v>
      </c>
      <c r="E708" s="1" t="s">
        <v>12</v>
      </c>
      <c r="F708" s="1">
        <v>46</v>
      </c>
      <c r="G708" s="1">
        <v>34</v>
      </c>
      <c r="H708" s="1">
        <v>36</v>
      </c>
    </row>
    <row r="709" spans="1:8" x14ac:dyDescent="0.3">
      <c r="A709" s="1" t="s">
        <v>17</v>
      </c>
      <c r="B709" s="1" t="s">
        <v>13</v>
      </c>
      <c r="C709" s="1" t="s">
        <v>14</v>
      </c>
      <c r="D709" s="1" t="s">
        <v>11</v>
      </c>
      <c r="E709" s="1" t="s">
        <v>12</v>
      </c>
      <c r="F709" s="1">
        <v>66</v>
      </c>
      <c r="G709" s="1">
        <v>59</v>
      </c>
      <c r="H709" s="1">
        <v>52</v>
      </c>
    </row>
    <row r="710" spans="1:8" x14ac:dyDescent="0.3">
      <c r="A710" s="1" t="s">
        <v>17</v>
      </c>
      <c r="B710" s="1" t="s">
        <v>21</v>
      </c>
      <c r="C710" s="1" t="s">
        <v>22</v>
      </c>
      <c r="D710" s="1" t="s">
        <v>11</v>
      </c>
      <c r="E710" s="1" t="s">
        <v>12</v>
      </c>
      <c r="F710" s="1">
        <v>89</v>
      </c>
      <c r="G710" s="1">
        <v>87</v>
      </c>
      <c r="H710" s="1">
        <v>79</v>
      </c>
    </row>
    <row r="711" spans="1:8" x14ac:dyDescent="0.3">
      <c r="A711" s="1" t="s">
        <v>8</v>
      </c>
      <c r="B711" s="1" t="s">
        <v>21</v>
      </c>
      <c r="C711" s="1" t="s">
        <v>19</v>
      </c>
      <c r="D711" s="1" t="s">
        <v>20</v>
      </c>
      <c r="E711" s="1" t="s">
        <v>15</v>
      </c>
      <c r="F711" s="1">
        <v>42</v>
      </c>
      <c r="G711" s="1">
        <v>61</v>
      </c>
      <c r="H711" s="1">
        <v>58</v>
      </c>
    </row>
    <row r="712" spans="1:8" x14ac:dyDescent="0.3">
      <c r="A712" s="1" t="s">
        <v>17</v>
      </c>
      <c r="B712" s="1" t="s">
        <v>13</v>
      </c>
      <c r="C712" s="1" t="s">
        <v>14</v>
      </c>
      <c r="D712" s="1" t="s">
        <v>11</v>
      </c>
      <c r="E712" s="1" t="s">
        <v>15</v>
      </c>
      <c r="F712" s="1">
        <v>93</v>
      </c>
      <c r="G712" s="1">
        <v>84</v>
      </c>
      <c r="H712" s="1">
        <v>90</v>
      </c>
    </row>
    <row r="713" spans="1:8" x14ac:dyDescent="0.3">
      <c r="A713" s="1" t="s">
        <v>8</v>
      </c>
      <c r="B713" s="1" t="s">
        <v>24</v>
      </c>
      <c r="C713" s="1" t="s">
        <v>23</v>
      </c>
      <c r="D713" s="1" t="s">
        <v>11</v>
      </c>
      <c r="E713" s="1" t="s">
        <v>15</v>
      </c>
      <c r="F713" s="1">
        <v>80</v>
      </c>
      <c r="G713" s="1">
        <v>85</v>
      </c>
      <c r="H713" s="1">
        <v>85</v>
      </c>
    </row>
    <row r="714" spans="1:8" x14ac:dyDescent="0.3">
      <c r="A714" s="1" t="s">
        <v>8</v>
      </c>
      <c r="B714" s="1" t="s">
        <v>21</v>
      </c>
      <c r="C714" s="1" t="s">
        <v>14</v>
      </c>
      <c r="D714" s="1" t="s">
        <v>11</v>
      </c>
      <c r="E714" s="1" t="s">
        <v>12</v>
      </c>
      <c r="F714" s="1">
        <v>98</v>
      </c>
      <c r="G714" s="1">
        <v>100</v>
      </c>
      <c r="H714" s="1">
        <v>99</v>
      </c>
    </row>
    <row r="715" spans="1:8" x14ac:dyDescent="0.3">
      <c r="A715" s="1" t="s">
        <v>17</v>
      </c>
      <c r="B715" s="1" t="s">
        <v>21</v>
      </c>
      <c r="C715" s="1" t="s">
        <v>16</v>
      </c>
      <c r="D715" s="1" t="s">
        <v>11</v>
      </c>
      <c r="E715" s="1" t="s">
        <v>12</v>
      </c>
      <c r="F715" s="1">
        <v>81</v>
      </c>
      <c r="G715" s="1">
        <v>81</v>
      </c>
      <c r="H715" s="1">
        <v>84</v>
      </c>
    </row>
    <row r="716" spans="1:8" x14ac:dyDescent="0.3">
      <c r="A716" s="1" t="s">
        <v>8</v>
      </c>
      <c r="B716" s="1" t="s">
        <v>9</v>
      </c>
      <c r="C716" s="1" t="s">
        <v>23</v>
      </c>
      <c r="D716" s="1" t="s">
        <v>11</v>
      </c>
      <c r="E716" s="1" t="s">
        <v>15</v>
      </c>
      <c r="F716" s="1">
        <v>60</v>
      </c>
      <c r="G716" s="1">
        <v>70</v>
      </c>
      <c r="H716" s="1">
        <v>74</v>
      </c>
    </row>
    <row r="717" spans="1:8" x14ac:dyDescent="0.3">
      <c r="A717" s="1" t="s">
        <v>8</v>
      </c>
      <c r="B717" s="1" t="s">
        <v>9</v>
      </c>
      <c r="C717" s="1" t="s">
        <v>19</v>
      </c>
      <c r="D717" s="1" t="s">
        <v>20</v>
      </c>
      <c r="E717" s="1" t="s">
        <v>15</v>
      </c>
      <c r="F717" s="1">
        <v>76</v>
      </c>
      <c r="G717" s="1">
        <v>94</v>
      </c>
      <c r="H717" s="1">
        <v>87</v>
      </c>
    </row>
    <row r="718" spans="1:8" x14ac:dyDescent="0.3">
      <c r="A718" s="1" t="s">
        <v>17</v>
      </c>
      <c r="B718" s="1" t="s">
        <v>13</v>
      </c>
      <c r="C718" s="1" t="s">
        <v>19</v>
      </c>
      <c r="D718" s="1" t="s">
        <v>11</v>
      </c>
      <c r="E718" s="1" t="s">
        <v>15</v>
      </c>
      <c r="F718" s="1">
        <v>73</v>
      </c>
      <c r="G718" s="1">
        <v>78</v>
      </c>
      <c r="H718" s="1">
        <v>72</v>
      </c>
    </row>
    <row r="719" spans="1:8" x14ac:dyDescent="0.3">
      <c r="A719" s="1" t="s">
        <v>8</v>
      </c>
      <c r="B719" s="1" t="s">
        <v>13</v>
      </c>
      <c r="C719" s="1" t="s">
        <v>19</v>
      </c>
      <c r="D719" s="1" t="s">
        <v>11</v>
      </c>
      <c r="E719" s="1" t="s">
        <v>15</v>
      </c>
      <c r="F719" s="1">
        <v>96</v>
      </c>
      <c r="G719" s="1">
        <v>96</v>
      </c>
      <c r="H719" s="1">
        <v>99</v>
      </c>
    </row>
    <row r="720" spans="1:8" x14ac:dyDescent="0.3">
      <c r="A720" s="1" t="s">
        <v>8</v>
      </c>
      <c r="B720" s="1" t="s">
        <v>13</v>
      </c>
      <c r="C720" s="1" t="s">
        <v>22</v>
      </c>
      <c r="D720" s="1" t="s">
        <v>11</v>
      </c>
      <c r="E720" s="1" t="s">
        <v>12</v>
      </c>
      <c r="F720" s="1">
        <v>76</v>
      </c>
      <c r="G720" s="1">
        <v>76</v>
      </c>
      <c r="H720" s="1">
        <v>74</v>
      </c>
    </row>
    <row r="721" spans="1:8" x14ac:dyDescent="0.3">
      <c r="A721" s="1" t="s">
        <v>17</v>
      </c>
      <c r="B721" s="1" t="s">
        <v>24</v>
      </c>
      <c r="C721" s="1" t="s">
        <v>19</v>
      </c>
      <c r="D721" s="1" t="s">
        <v>20</v>
      </c>
      <c r="E721" s="1" t="s">
        <v>15</v>
      </c>
      <c r="F721" s="1">
        <v>91</v>
      </c>
      <c r="G721" s="1">
        <v>73</v>
      </c>
      <c r="H721" s="1">
        <v>80</v>
      </c>
    </row>
    <row r="722" spans="1:8" x14ac:dyDescent="0.3">
      <c r="A722" s="1" t="s">
        <v>8</v>
      </c>
      <c r="B722" s="1" t="s">
        <v>13</v>
      </c>
      <c r="C722" s="1" t="s">
        <v>14</v>
      </c>
      <c r="D722" s="1" t="s">
        <v>20</v>
      </c>
      <c r="E722" s="1" t="s">
        <v>12</v>
      </c>
      <c r="F722" s="1">
        <v>62</v>
      </c>
      <c r="G722" s="1">
        <v>72</v>
      </c>
      <c r="H722" s="1">
        <v>70</v>
      </c>
    </row>
    <row r="723" spans="1:8" x14ac:dyDescent="0.3">
      <c r="A723" s="1" t="s">
        <v>17</v>
      </c>
      <c r="B723" s="1" t="s">
        <v>21</v>
      </c>
      <c r="C723" s="1" t="s">
        <v>23</v>
      </c>
      <c r="D723" s="1" t="s">
        <v>20</v>
      </c>
      <c r="E723" s="1" t="s">
        <v>15</v>
      </c>
      <c r="F723" s="1">
        <v>55</v>
      </c>
      <c r="G723" s="1">
        <v>59</v>
      </c>
      <c r="H723" s="1">
        <v>59</v>
      </c>
    </row>
    <row r="724" spans="1:8" x14ac:dyDescent="0.3">
      <c r="A724" s="1" t="s">
        <v>8</v>
      </c>
      <c r="B724" s="1" t="s">
        <v>9</v>
      </c>
      <c r="C724" s="1" t="s">
        <v>23</v>
      </c>
      <c r="D724" s="1" t="s">
        <v>20</v>
      </c>
      <c r="E724" s="1" t="s">
        <v>15</v>
      </c>
      <c r="F724" s="1">
        <v>74</v>
      </c>
      <c r="G724" s="1">
        <v>90</v>
      </c>
      <c r="H724" s="1">
        <v>88</v>
      </c>
    </row>
    <row r="725" spans="1:8" x14ac:dyDescent="0.3">
      <c r="A725" s="1" t="s">
        <v>17</v>
      </c>
      <c r="B725" s="1" t="s">
        <v>13</v>
      </c>
      <c r="C725" s="1" t="s">
        <v>22</v>
      </c>
      <c r="D725" s="1" t="s">
        <v>11</v>
      </c>
      <c r="E725" s="1" t="s">
        <v>12</v>
      </c>
      <c r="F725" s="1">
        <v>50</v>
      </c>
      <c r="G725" s="1">
        <v>48</v>
      </c>
      <c r="H725" s="1">
        <v>42</v>
      </c>
    </row>
    <row r="726" spans="1:8" x14ac:dyDescent="0.3">
      <c r="A726" s="1" t="s">
        <v>17</v>
      </c>
      <c r="B726" s="1" t="s">
        <v>9</v>
      </c>
      <c r="C726" s="1" t="s">
        <v>14</v>
      </c>
      <c r="D726" s="1" t="s">
        <v>11</v>
      </c>
      <c r="E726" s="1" t="s">
        <v>12</v>
      </c>
      <c r="F726" s="1">
        <v>47</v>
      </c>
      <c r="G726" s="1">
        <v>43</v>
      </c>
      <c r="H726" s="1">
        <v>41</v>
      </c>
    </row>
    <row r="727" spans="1:8" x14ac:dyDescent="0.3">
      <c r="A727" s="1" t="s">
        <v>17</v>
      </c>
      <c r="B727" s="1" t="s">
        <v>24</v>
      </c>
      <c r="C727" s="1" t="s">
        <v>14</v>
      </c>
      <c r="D727" s="1" t="s">
        <v>11</v>
      </c>
      <c r="E727" s="1" t="s">
        <v>15</v>
      </c>
      <c r="F727" s="1">
        <v>81</v>
      </c>
      <c r="G727" s="1">
        <v>74</v>
      </c>
      <c r="H727" s="1">
        <v>71</v>
      </c>
    </row>
    <row r="728" spans="1:8" x14ac:dyDescent="0.3">
      <c r="A728" s="1" t="s">
        <v>8</v>
      </c>
      <c r="B728" s="1" t="s">
        <v>24</v>
      </c>
      <c r="C728" s="1" t="s">
        <v>19</v>
      </c>
      <c r="D728" s="1" t="s">
        <v>11</v>
      </c>
      <c r="E728" s="1" t="s">
        <v>15</v>
      </c>
      <c r="F728" s="1">
        <v>65</v>
      </c>
      <c r="G728" s="1">
        <v>75</v>
      </c>
      <c r="H728" s="1">
        <v>77</v>
      </c>
    </row>
    <row r="729" spans="1:8" x14ac:dyDescent="0.3">
      <c r="A729" s="1" t="s">
        <v>17</v>
      </c>
      <c r="B729" s="1" t="s">
        <v>24</v>
      </c>
      <c r="C729" s="1" t="s">
        <v>23</v>
      </c>
      <c r="D729" s="1" t="s">
        <v>11</v>
      </c>
      <c r="E729" s="1" t="s">
        <v>15</v>
      </c>
      <c r="F729" s="1">
        <v>68</v>
      </c>
      <c r="G729" s="1">
        <v>51</v>
      </c>
      <c r="H729" s="1">
        <v>57</v>
      </c>
    </row>
    <row r="730" spans="1:8" x14ac:dyDescent="0.3">
      <c r="A730" s="1" t="s">
        <v>8</v>
      </c>
      <c r="B730" s="1" t="s">
        <v>21</v>
      </c>
      <c r="C730" s="1" t="s">
        <v>22</v>
      </c>
      <c r="D730" s="1" t="s">
        <v>20</v>
      </c>
      <c r="E730" s="1" t="s">
        <v>12</v>
      </c>
      <c r="F730" s="1">
        <v>73</v>
      </c>
      <c r="G730" s="1">
        <v>92</v>
      </c>
      <c r="H730" s="1">
        <v>84</v>
      </c>
    </row>
    <row r="731" spans="1:8" x14ac:dyDescent="0.3">
      <c r="A731" s="1" t="s">
        <v>17</v>
      </c>
      <c r="B731" s="1" t="s">
        <v>13</v>
      </c>
      <c r="C731" s="1" t="s">
        <v>14</v>
      </c>
      <c r="D731" s="1" t="s">
        <v>11</v>
      </c>
      <c r="E731" s="1" t="s">
        <v>12</v>
      </c>
      <c r="F731" s="1">
        <v>53</v>
      </c>
      <c r="G731" s="1">
        <v>39</v>
      </c>
      <c r="H731" s="1">
        <v>37</v>
      </c>
    </row>
    <row r="732" spans="1:8" x14ac:dyDescent="0.3">
      <c r="A732" s="1" t="s">
        <v>8</v>
      </c>
      <c r="B732" s="1" t="s">
        <v>9</v>
      </c>
      <c r="C732" s="1" t="s">
        <v>19</v>
      </c>
      <c r="D732" s="1" t="s">
        <v>20</v>
      </c>
      <c r="E732" s="1" t="s">
        <v>15</v>
      </c>
      <c r="F732" s="1">
        <v>68</v>
      </c>
      <c r="G732" s="1">
        <v>77</v>
      </c>
      <c r="H732" s="1">
        <v>80</v>
      </c>
    </row>
    <row r="733" spans="1:8" x14ac:dyDescent="0.3">
      <c r="A733" s="1" t="s">
        <v>17</v>
      </c>
      <c r="B733" s="1" t="s">
        <v>18</v>
      </c>
      <c r="C733" s="1" t="s">
        <v>23</v>
      </c>
      <c r="D733" s="1" t="s">
        <v>20</v>
      </c>
      <c r="E733" s="1" t="s">
        <v>12</v>
      </c>
      <c r="F733" s="1">
        <v>55</v>
      </c>
      <c r="G733" s="1">
        <v>46</v>
      </c>
      <c r="H733" s="1">
        <v>43</v>
      </c>
    </row>
    <row r="734" spans="1:8" x14ac:dyDescent="0.3">
      <c r="A734" s="1" t="s">
        <v>8</v>
      </c>
      <c r="B734" s="1" t="s">
        <v>13</v>
      </c>
      <c r="C734" s="1" t="s">
        <v>14</v>
      </c>
      <c r="D734" s="1" t="s">
        <v>11</v>
      </c>
      <c r="E734" s="1" t="s">
        <v>15</v>
      </c>
      <c r="F734" s="1">
        <v>87</v>
      </c>
      <c r="G734" s="1">
        <v>89</v>
      </c>
      <c r="H734" s="1">
        <v>94</v>
      </c>
    </row>
    <row r="735" spans="1:8" x14ac:dyDescent="0.3">
      <c r="A735" s="1" t="s">
        <v>17</v>
      </c>
      <c r="B735" s="1" t="s">
        <v>21</v>
      </c>
      <c r="C735" s="1" t="s">
        <v>23</v>
      </c>
      <c r="D735" s="1" t="s">
        <v>11</v>
      </c>
      <c r="E735" s="1" t="s">
        <v>12</v>
      </c>
      <c r="F735" s="1">
        <v>55</v>
      </c>
      <c r="G735" s="1">
        <v>47</v>
      </c>
      <c r="H735" s="1">
        <v>44</v>
      </c>
    </row>
    <row r="736" spans="1:8" x14ac:dyDescent="0.3">
      <c r="A736" s="1" t="s">
        <v>8</v>
      </c>
      <c r="B736" s="1" t="s">
        <v>24</v>
      </c>
      <c r="C736" s="1" t="s">
        <v>14</v>
      </c>
      <c r="D736" s="1" t="s">
        <v>20</v>
      </c>
      <c r="E736" s="1" t="s">
        <v>12</v>
      </c>
      <c r="F736" s="1">
        <v>53</v>
      </c>
      <c r="G736" s="1">
        <v>58</v>
      </c>
      <c r="H736" s="1">
        <v>57</v>
      </c>
    </row>
    <row r="737" spans="1:8" x14ac:dyDescent="0.3">
      <c r="A737" s="1" t="s">
        <v>17</v>
      </c>
      <c r="B737" s="1" t="s">
        <v>13</v>
      </c>
      <c r="C737" s="1" t="s">
        <v>16</v>
      </c>
      <c r="D737" s="1" t="s">
        <v>11</v>
      </c>
      <c r="E737" s="1" t="s">
        <v>12</v>
      </c>
      <c r="F737" s="1">
        <v>67</v>
      </c>
      <c r="G737" s="1">
        <v>57</v>
      </c>
      <c r="H737" s="1">
        <v>59</v>
      </c>
    </row>
    <row r="738" spans="1:8" x14ac:dyDescent="0.3">
      <c r="A738" s="1" t="s">
        <v>17</v>
      </c>
      <c r="B738" s="1" t="s">
        <v>13</v>
      </c>
      <c r="C738" s="1" t="s">
        <v>19</v>
      </c>
      <c r="D738" s="1" t="s">
        <v>11</v>
      </c>
      <c r="E738" s="1" t="s">
        <v>12</v>
      </c>
      <c r="F738" s="1">
        <v>92</v>
      </c>
      <c r="G738" s="1">
        <v>79</v>
      </c>
      <c r="H738" s="1">
        <v>84</v>
      </c>
    </row>
    <row r="739" spans="1:8" x14ac:dyDescent="0.3">
      <c r="A739" s="1" t="s">
        <v>8</v>
      </c>
      <c r="B739" s="1" t="s">
        <v>9</v>
      </c>
      <c r="C739" s="1" t="s">
        <v>14</v>
      </c>
      <c r="D739" s="1" t="s">
        <v>20</v>
      </c>
      <c r="E739" s="1" t="s">
        <v>15</v>
      </c>
      <c r="F739" s="1">
        <v>53</v>
      </c>
      <c r="G739" s="1">
        <v>66</v>
      </c>
      <c r="H739" s="1">
        <v>73</v>
      </c>
    </row>
    <row r="740" spans="1:8" x14ac:dyDescent="0.3">
      <c r="A740" s="1" t="s">
        <v>17</v>
      </c>
      <c r="B740" s="1" t="s">
        <v>21</v>
      </c>
      <c r="C740" s="1" t="s">
        <v>19</v>
      </c>
      <c r="D740" s="1" t="s">
        <v>11</v>
      </c>
      <c r="E740" s="1" t="s">
        <v>12</v>
      </c>
      <c r="F740" s="1">
        <v>81</v>
      </c>
      <c r="G740" s="1">
        <v>71</v>
      </c>
      <c r="H740" s="1">
        <v>73</v>
      </c>
    </row>
    <row r="741" spans="1:8" x14ac:dyDescent="0.3">
      <c r="A741" s="1" t="s">
        <v>17</v>
      </c>
      <c r="B741" s="1" t="s">
        <v>13</v>
      </c>
      <c r="C741" s="1" t="s">
        <v>22</v>
      </c>
      <c r="D741" s="1" t="s">
        <v>20</v>
      </c>
      <c r="E741" s="1" t="s">
        <v>12</v>
      </c>
      <c r="F741" s="1">
        <v>61</v>
      </c>
      <c r="G741" s="1">
        <v>60</v>
      </c>
      <c r="H741" s="1">
        <v>55</v>
      </c>
    </row>
    <row r="742" spans="1:8" x14ac:dyDescent="0.3">
      <c r="A742" s="1" t="s">
        <v>17</v>
      </c>
      <c r="B742" s="1" t="s">
        <v>21</v>
      </c>
      <c r="C742" s="1" t="s">
        <v>10</v>
      </c>
      <c r="D742" s="1" t="s">
        <v>11</v>
      </c>
      <c r="E742" s="1" t="s">
        <v>12</v>
      </c>
      <c r="F742" s="1">
        <v>80</v>
      </c>
      <c r="G742" s="1">
        <v>73</v>
      </c>
      <c r="H742" s="1">
        <v>72</v>
      </c>
    </row>
    <row r="743" spans="1:8" x14ac:dyDescent="0.3">
      <c r="A743" s="1" t="s">
        <v>8</v>
      </c>
      <c r="B743" s="1" t="s">
        <v>18</v>
      </c>
      <c r="C743" s="1" t="s">
        <v>19</v>
      </c>
      <c r="D743" s="1" t="s">
        <v>20</v>
      </c>
      <c r="E743" s="1" t="s">
        <v>12</v>
      </c>
      <c r="F743" s="1">
        <v>37</v>
      </c>
      <c r="G743" s="1">
        <v>57</v>
      </c>
      <c r="H743" s="1">
        <v>56</v>
      </c>
    </row>
    <row r="744" spans="1:8" x14ac:dyDescent="0.3">
      <c r="A744" s="1" t="s">
        <v>8</v>
      </c>
      <c r="B744" s="1" t="s">
        <v>13</v>
      </c>
      <c r="C744" s="1" t="s">
        <v>22</v>
      </c>
      <c r="D744" s="1" t="s">
        <v>11</v>
      </c>
      <c r="E744" s="1" t="s">
        <v>12</v>
      </c>
      <c r="F744" s="1">
        <v>81</v>
      </c>
      <c r="G744" s="1">
        <v>84</v>
      </c>
      <c r="H744" s="1">
        <v>82</v>
      </c>
    </row>
    <row r="745" spans="1:8" x14ac:dyDescent="0.3">
      <c r="A745" s="1" t="s">
        <v>8</v>
      </c>
      <c r="B745" s="1" t="s">
        <v>13</v>
      </c>
      <c r="C745" s="1" t="s">
        <v>19</v>
      </c>
      <c r="D745" s="1" t="s">
        <v>11</v>
      </c>
      <c r="E745" s="1" t="s">
        <v>15</v>
      </c>
      <c r="F745" s="1">
        <v>59</v>
      </c>
      <c r="G745" s="1">
        <v>73</v>
      </c>
      <c r="H745" s="1">
        <v>72</v>
      </c>
    </row>
    <row r="746" spans="1:8" x14ac:dyDescent="0.3">
      <c r="A746" s="1" t="s">
        <v>17</v>
      </c>
      <c r="B746" s="1" t="s">
        <v>9</v>
      </c>
      <c r="C746" s="1" t="s">
        <v>14</v>
      </c>
      <c r="D746" s="1" t="s">
        <v>20</v>
      </c>
      <c r="E746" s="1" t="s">
        <v>12</v>
      </c>
      <c r="F746" s="1">
        <v>55</v>
      </c>
      <c r="G746" s="1">
        <v>55</v>
      </c>
      <c r="H746" s="1">
        <v>47</v>
      </c>
    </row>
    <row r="747" spans="1:8" x14ac:dyDescent="0.3">
      <c r="A747" s="1" t="s">
        <v>17</v>
      </c>
      <c r="B747" s="1" t="s">
        <v>21</v>
      </c>
      <c r="C747" s="1" t="s">
        <v>19</v>
      </c>
      <c r="D747" s="1" t="s">
        <v>11</v>
      </c>
      <c r="E747" s="1" t="s">
        <v>12</v>
      </c>
      <c r="F747" s="1">
        <v>72</v>
      </c>
      <c r="G747" s="1">
        <v>79</v>
      </c>
      <c r="H747" s="1">
        <v>74</v>
      </c>
    </row>
    <row r="748" spans="1:8" x14ac:dyDescent="0.3">
      <c r="A748" s="1" t="s">
        <v>17</v>
      </c>
      <c r="B748" s="1" t="s">
        <v>21</v>
      </c>
      <c r="C748" s="1" t="s">
        <v>22</v>
      </c>
      <c r="D748" s="1" t="s">
        <v>11</v>
      </c>
      <c r="E748" s="1" t="s">
        <v>12</v>
      </c>
      <c r="F748" s="1">
        <v>69</v>
      </c>
      <c r="G748" s="1">
        <v>75</v>
      </c>
      <c r="H748" s="1">
        <v>71</v>
      </c>
    </row>
    <row r="749" spans="1:8" x14ac:dyDescent="0.3">
      <c r="A749" s="1" t="s">
        <v>17</v>
      </c>
      <c r="B749" s="1" t="s">
        <v>13</v>
      </c>
      <c r="C749" s="1" t="s">
        <v>14</v>
      </c>
      <c r="D749" s="1" t="s">
        <v>11</v>
      </c>
      <c r="E749" s="1" t="s">
        <v>12</v>
      </c>
      <c r="F749" s="1">
        <v>69</v>
      </c>
      <c r="G749" s="1">
        <v>64</v>
      </c>
      <c r="H749" s="1">
        <v>68</v>
      </c>
    </row>
    <row r="750" spans="1:8" x14ac:dyDescent="0.3">
      <c r="A750" s="1" t="s">
        <v>8</v>
      </c>
      <c r="B750" s="1" t="s">
        <v>13</v>
      </c>
      <c r="C750" s="1" t="s">
        <v>10</v>
      </c>
      <c r="D750" s="1" t="s">
        <v>20</v>
      </c>
      <c r="E750" s="1" t="s">
        <v>12</v>
      </c>
      <c r="F750" s="1">
        <v>50</v>
      </c>
      <c r="G750" s="1">
        <v>60</v>
      </c>
      <c r="H750" s="1">
        <v>59</v>
      </c>
    </row>
    <row r="751" spans="1:8" x14ac:dyDescent="0.3">
      <c r="A751" s="1" t="s">
        <v>17</v>
      </c>
      <c r="B751" s="1" t="s">
        <v>9</v>
      </c>
      <c r="C751" s="1" t="s">
        <v>14</v>
      </c>
      <c r="D751" s="1" t="s">
        <v>11</v>
      </c>
      <c r="E751" s="1" t="s">
        <v>15</v>
      </c>
      <c r="F751" s="1">
        <v>87</v>
      </c>
      <c r="G751" s="1">
        <v>84</v>
      </c>
      <c r="H751" s="1">
        <v>86</v>
      </c>
    </row>
    <row r="752" spans="1:8" x14ac:dyDescent="0.3">
      <c r="A752" s="1" t="s">
        <v>17</v>
      </c>
      <c r="B752" s="1" t="s">
        <v>21</v>
      </c>
      <c r="C752" s="1" t="s">
        <v>23</v>
      </c>
      <c r="D752" s="1" t="s">
        <v>11</v>
      </c>
      <c r="E752" s="1" t="s">
        <v>15</v>
      </c>
      <c r="F752" s="1">
        <v>71</v>
      </c>
      <c r="G752" s="1">
        <v>69</v>
      </c>
      <c r="H752" s="1">
        <v>68</v>
      </c>
    </row>
    <row r="753" spans="1:8" x14ac:dyDescent="0.3">
      <c r="A753" s="1" t="s">
        <v>17</v>
      </c>
      <c r="B753" s="1" t="s">
        <v>24</v>
      </c>
      <c r="C753" s="1" t="s">
        <v>14</v>
      </c>
      <c r="D753" s="1" t="s">
        <v>11</v>
      </c>
      <c r="E753" s="1" t="s">
        <v>12</v>
      </c>
      <c r="F753" s="1">
        <v>68</v>
      </c>
      <c r="G753" s="1">
        <v>72</v>
      </c>
      <c r="H753" s="1">
        <v>65</v>
      </c>
    </row>
    <row r="754" spans="1:8" x14ac:dyDescent="0.3">
      <c r="A754" s="1" t="s">
        <v>17</v>
      </c>
      <c r="B754" s="1" t="s">
        <v>13</v>
      </c>
      <c r="C754" s="1" t="s">
        <v>16</v>
      </c>
      <c r="D754" s="1" t="s">
        <v>20</v>
      </c>
      <c r="E754" s="1" t="s">
        <v>15</v>
      </c>
      <c r="F754" s="1">
        <v>79</v>
      </c>
      <c r="G754" s="1">
        <v>77</v>
      </c>
      <c r="H754" s="1">
        <v>75</v>
      </c>
    </row>
    <row r="755" spans="1:8" x14ac:dyDescent="0.3">
      <c r="A755" s="1" t="s">
        <v>8</v>
      </c>
      <c r="B755" s="1" t="s">
        <v>13</v>
      </c>
      <c r="C755" s="1" t="s">
        <v>23</v>
      </c>
      <c r="D755" s="1" t="s">
        <v>11</v>
      </c>
      <c r="E755" s="1" t="s">
        <v>15</v>
      </c>
      <c r="F755" s="1">
        <v>77</v>
      </c>
      <c r="G755" s="1">
        <v>90</v>
      </c>
      <c r="H755" s="1">
        <v>85</v>
      </c>
    </row>
    <row r="756" spans="1:8" x14ac:dyDescent="0.3">
      <c r="A756" s="1" t="s">
        <v>17</v>
      </c>
      <c r="B756" s="1" t="s">
        <v>13</v>
      </c>
      <c r="C756" s="1" t="s">
        <v>19</v>
      </c>
      <c r="D756" s="1" t="s">
        <v>20</v>
      </c>
      <c r="E756" s="1" t="s">
        <v>12</v>
      </c>
      <c r="F756" s="1">
        <v>58</v>
      </c>
      <c r="G756" s="1">
        <v>55</v>
      </c>
      <c r="H756" s="1">
        <v>53</v>
      </c>
    </row>
    <row r="757" spans="1:8" x14ac:dyDescent="0.3">
      <c r="A757" s="1" t="s">
        <v>8</v>
      </c>
      <c r="B757" s="1" t="s">
        <v>24</v>
      </c>
      <c r="C757" s="1" t="s">
        <v>19</v>
      </c>
      <c r="D757" s="1" t="s">
        <v>11</v>
      </c>
      <c r="E757" s="1" t="s">
        <v>12</v>
      </c>
      <c r="F757" s="1">
        <v>84</v>
      </c>
      <c r="G757" s="1">
        <v>95</v>
      </c>
      <c r="H757" s="1">
        <v>92</v>
      </c>
    </row>
    <row r="758" spans="1:8" x14ac:dyDescent="0.3">
      <c r="A758" s="1" t="s">
        <v>17</v>
      </c>
      <c r="B758" s="1" t="s">
        <v>21</v>
      </c>
      <c r="C758" s="1" t="s">
        <v>14</v>
      </c>
      <c r="D758" s="1" t="s">
        <v>11</v>
      </c>
      <c r="E758" s="1" t="s">
        <v>12</v>
      </c>
      <c r="F758" s="1">
        <v>55</v>
      </c>
      <c r="G758" s="1">
        <v>58</v>
      </c>
      <c r="H758" s="1">
        <v>52</v>
      </c>
    </row>
    <row r="759" spans="1:8" x14ac:dyDescent="0.3">
      <c r="A759" s="1" t="s">
        <v>17</v>
      </c>
      <c r="B759" s="1" t="s">
        <v>24</v>
      </c>
      <c r="C759" s="1" t="s">
        <v>10</v>
      </c>
      <c r="D759" s="1" t="s">
        <v>20</v>
      </c>
      <c r="E759" s="1" t="s">
        <v>15</v>
      </c>
      <c r="F759" s="1">
        <v>70</v>
      </c>
      <c r="G759" s="1">
        <v>68</v>
      </c>
      <c r="H759" s="1">
        <v>72</v>
      </c>
    </row>
    <row r="760" spans="1:8" x14ac:dyDescent="0.3">
      <c r="A760" s="1" t="s">
        <v>8</v>
      </c>
      <c r="B760" s="1" t="s">
        <v>21</v>
      </c>
      <c r="C760" s="1" t="s">
        <v>14</v>
      </c>
      <c r="D760" s="1" t="s">
        <v>20</v>
      </c>
      <c r="E760" s="1" t="s">
        <v>15</v>
      </c>
      <c r="F760" s="1">
        <v>52</v>
      </c>
      <c r="G760" s="1">
        <v>59</v>
      </c>
      <c r="H760" s="1">
        <v>65</v>
      </c>
    </row>
    <row r="761" spans="1:8" x14ac:dyDescent="0.3">
      <c r="A761" s="1" t="s">
        <v>17</v>
      </c>
      <c r="B761" s="1" t="s">
        <v>9</v>
      </c>
      <c r="C761" s="1" t="s">
        <v>14</v>
      </c>
      <c r="D761" s="1" t="s">
        <v>11</v>
      </c>
      <c r="E761" s="1" t="s">
        <v>15</v>
      </c>
      <c r="F761" s="1">
        <v>69</v>
      </c>
      <c r="G761" s="1">
        <v>77</v>
      </c>
      <c r="H761" s="1">
        <v>77</v>
      </c>
    </row>
    <row r="762" spans="1:8" x14ac:dyDescent="0.3">
      <c r="A762" s="1" t="s">
        <v>8</v>
      </c>
      <c r="B762" s="1" t="s">
        <v>13</v>
      </c>
      <c r="C762" s="1" t="s">
        <v>22</v>
      </c>
      <c r="D762" s="1" t="s">
        <v>20</v>
      </c>
      <c r="E762" s="1" t="s">
        <v>12</v>
      </c>
      <c r="F762" s="1">
        <v>53</v>
      </c>
      <c r="G762" s="1">
        <v>72</v>
      </c>
      <c r="H762" s="1">
        <v>64</v>
      </c>
    </row>
    <row r="763" spans="1:8" x14ac:dyDescent="0.3">
      <c r="A763" s="1" t="s">
        <v>8</v>
      </c>
      <c r="B763" s="1" t="s">
        <v>21</v>
      </c>
      <c r="C763" s="1" t="s">
        <v>23</v>
      </c>
      <c r="D763" s="1" t="s">
        <v>11</v>
      </c>
      <c r="E763" s="1" t="s">
        <v>12</v>
      </c>
      <c r="F763" s="1">
        <v>48</v>
      </c>
      <c r="G763" s="1">
        <v>58</v>
      </c>
      <c r="H763" s="1">
        <v>54</v>
      </c>
    </row>
    <row r="764" spans="1:8" x14ac:dyDescent="0.3">
      <c r="A764" s="1" t="s">
        <v>17</v>
      </c>
      <c r="B764" s="1" t="s">
        <v>21</v>
      </c>
      <c r="C764" s="1" t="s">
        <v>23</v>
      </c>
      <c r="D764" s="1" t="s">
        <v>11</v>
      </c>
      <c r="E764" s="1" t="s">
        <v>15</v>
      </c>
      <c r="F764" s="1">
        <v>78</v>
      </c>
      <c r="G764" s="1">
        <v>81</v>
      </c>
      <c r="H764" s="1">
        <v>86</v>
      </c>
    </row>
    <row r="765" spans="1:8" x14ac:dyDescent="0.3">
      <c r="A765" s="1" t="s">
        <v>8</v>
      </c>
      <c r="B765" s="1" t="s">
        <v>9</v>
      </c>
      <c r="C765" s="1" t="s">
        <v>22</v>
      </c>
      <c r="D765" s="1" t="s">
        <v>11</v>
      </c>
      <c r="E765" s="1" t="s">
        <v>12</v>
      </c>
      <c r="F765" s="1">
        <v>62</v>
      </c>
      <c r="G765" s="1">
        <v>62</v>
      </c>
      <c r="H765" s="1">
        <v>63</v>
      </c>
    </row>
    <row r="766" spans="1:8" x14ac:dyDescent="0.3">
      <c r="A766" s="1" t="s">
        <v>17</v>
      </c>
      <c r="B766" s="1" t="s">
        <v>21</v>
      </c>
      <c r="C766" s="1" t="s">
        <v>14</v>
      </c>
      <c r="D766" s="1" t="s">
        <v>11</v>
      </c>
      <c r="E766" s="1" t="s">
        <v>12</v>
      </c>
      <c r="F766" s="1">
        <v>60</v>
      </c>
      <c r="G766" s="1">
        <v>63</v>
      </c>
      <c r="H766" s="1">
        <v>59</v>
      </c>
    </row>
    <row r="767" spans="1:8" x14ac:dyDescent="0.3">
      <c r="A767" s="1" t="s">
        <v>8</v>
      </c>
      <c r="B767" s="1" t="s">
        <v>9</v>
      </c>
      <c r="C767" s="1" t="s">
        <v>22</v>
      </c>
      <c r="D767" s="1" t="s">
        <v>11</v>
      </c>
      <c r="E767" s="1" t="s">
        <v>12</v>
      </c>
      <c r="F767" s="1">
        <v>74</v>
      </c>
      <c r="G767" s="1">
        <v>72</v>
      </c>
      <c r="H767" s="1">
        <v>72</v>
      </c>
    </row>
    <row r="768" spans="1:8" x14ac:dyDescent="0.3">
      <c r="A768" s="1" t="s">
        <v>8</v>
      </c>
      <c r="B768" s="1" t="s">
        <v>13</v>
      </c>
      <c r="C768" s="1" t="s">
        <v>22</v>
      </c>
      <c r="D768" s="1" t="s">
        <v>11</v>
      </c>
      <c r="E768" s="1" t="s">
        <v>15</v>
      </c>
      <c r="F768" s="1">
        <v>58</v>
      </c>
      <c r="G768" s="1">
        <v>75</v>
      </c>
      <c r="H768" s="1">
        <v>77</v>
      </c>
    </row>
    <row r="769" spans="1:8" x14ac:dyDescent="0.3">
      <c r="A769" s="1" t="s">
        <v>17</v>
      </c>
      <c r="B769" s="1" t="s">
        <v>9</v>
      </c>
      <c r="C769" s="1" t="s">
        <v>22</v>
      </c>
      <c r="D769" s="1" t="s">
        <v>11</v>
      </c>
      <c r="E769" s="1" t="s">
        <v>15</v>
      </c>
      <c r="F769" s="1">
        <v>76</v>
      </c>
      <c r="G769" s="1">
        <v>62</v>
      </c>
      <c r="H769" s="1">
        <v>60</v>
      </c>
    </row>
    <row r="770" spans="1:8" x14ac:dyDescent="0.3">
      <c r="A770" s="1" t="s">
        <v>8</v>
      </c>
      <c r="B770" s="1" t="s">
        <v>21</v>
      </c>
      <c r="C770" s="1" t="s">
        <v>23</v>
      </c>
      <c r="D770" s="1" t="s">
        <v>11</v>
      </c>
      <c r="E770" s="1" t="s">
        <v>12</v>
      </c>
      <c r="F770" s="1">
        <v>68</v>
      </c>
      <c r="G770" s="1">
        <v>71</v>
      </c>
      <c r="H770" s="1">
        <v>75</v>
      </c>
    </row>
    <row r="771" spans="1:8" x14ac:dyDescent="0.3">
      <c r="A771" s="1" t="s">
        <v>17</v>
      </c>
      <c r="B771" s="1" t="s">
        <v>18</v>
      </c>
      <c r="C771" s="1" t="s">
        <v>14</v>
      </c>
      <c r="D771" s="1" t="s">
        <v>20</v>
      </c>
      <c r="E771" s="1" t="s">
        <v>12</v>
      </c>
      <c r="F771" s="1">
        <v>58</v>
      </c>
      <c r="G771" s="1">
        <v>60</v>
      </c>
      <c r="H771" s="1">
        <v>57</v>
      </c>
    </row>
    <row r="772" spans="1:8" x14ac:dyDescent="0.3">
      <c r="A772" s="1" t="s">
        <v>17</v>
      </c>
      <c r="B772" s="1" t="s">
        <v>9</v>
      </c>
      <c r="C772" s="1" t="s">
        <v>22</v>
      </c>
      <c r="D772" s="1" t="s">
        <v>11</v>
      </c>
      <c r="E772" s="1" t="s">
        <v>12</v>
      </c>
      <c r="F772" s="1">
        <v>52</v>
      </c>
      <c r="G772" s="1">
        <v>48</v>
      </c>
      <c r="H772" s="1">
        <v>49</v>
      </c>
    </row>
    <row r="773" spans="1:8" x14ac:dyDescent="0.3">
      <c r="A773" s="1" t="s">
        <v>17</v>
      </c>
      <c r="B773" s="1" t="s">
        <v>21</v>
      </c>
      <c r="C773" s="1" t="s">
        <v>10</v>
      </c>
      <c r="D773" s="1" t="s">
        <v>11</v>
      </c>
      <c r="E773" s="1" t="s">
        <v>12</v>
      </c>
      <c r="F773" s="1">
        <v>75</v>
      </c>
      <c r="G773" s="1">
        <v>73</v>
      </c>
      <c r="H773" s="1">
        <v>74</v>
      </c>
    </row>
    <row r="774" spans="1:8" x14ac:dyDescent="0.3">
      <c r="A774" s="1" t="s">
        <v>8</v>
      </c>
      <c r="B774" s="1" t="s">
        <v>9</v>
      </c>
      <c r="C774" s="1" t="s">
        <v>23</v>
      </c>
      <c r="D774" s="1" t="s">
        <v>20</v>
      </c>
      <c r="E774" s="1" t="s">
        <v>15</v>
      </c>
      <c r="F774" s="1">
        <v>52</v>
      </c>
      <c r="G774" s="1">
        <v>67</v>
      </c>
      <c r="H774" s="1">
        <v>72</v>
      </c>
    </row>
    <row r="775" spans="1:8" x14ac:dyDescent="0.3">
      <c r="A775" s="1" t="s">
        <v>8</v>
      </c>
      <c r="B775" s="1" t="s">
        <v>13</v>
      </c>
      <c r="C775" s="1" t="s">
        <v>10</v>
      </c>
      <c r="D775" s="1" t="s">
        <v>20</v>
      </c>
      <c r="E775" s="1" t="s">
        <v>12</v>
      </c>
      <c r="F775" s="1">
        <v>62</v>
      </c>
      <c r="G775" s="1">
        <v>78</v>
      </c>
      <c r="H775" s="1">
        <v>79</v>
      </c>
    </row>
    <row r="776" spans="1:8" x14ac:dyDescent="0.3">
      <c r="A776" s="1" t="s">
        <v>17</v>
      </c>
      <c r="B776" s="1" t="s">
        <v>9</v>
      </c>
      <c r="C776" s="1" t="s">
        <v>14</v>
      </c>
      <c r="D776" s="1" t="s">
        <v>11</v>
      </c>
      <c r="E776" s="1" t="s">
        <v>12</v>
      </c>
      <c r="F776" s="1">
        <v>66</v>
      </c>
      <c r="G776" s="1">
        <v>65</v>
      </c>
      <c r="H776" s="1">
        <v>60</v>
      </c>
    </row>
    <row r="777" spans="1:8" x14ac:dyDescent="0.3">
      <c r="A777" s="1" t="s">
        <v>8</v>
      </c>
      <c r="B777" s="1" t="s">
        <v>9</v>
      </c>
      <c r="C777" s="1" t="s">
        <v>23</v>
      </c>
      <c r="D777" s="1" t="s">
        <v>20</v>
      </c>
      <c r="E777" s="1" t="s">
        <v>12</v>
      </c>
      <c r="F777" s="1">
        <v>49</v>
      </c>
      <c r="G777" s="1">
        <v>58</v>
      </c>
      <c r="H777" s="1">
        <v>55</v>
      </c>
    </row>
    <row r="778" spans="1:8" x14ac:dyDescent="0.3">
      <c r="A778" s="1" t="s">
        <v>8</v>
      </c>
      <c r="B778" s="1" t="s">
        <v>9</v>
      </c>
      <c r="C778" s="1" t="s">
        <v>22</v>
      </c>
      <c r="D778" s="1" t="s">
        <v>11</v>
      </c>
      <c r="E778" s="1" t="s">
        <v>12</v>
      </c>
      <c r="F778" s="1">
        <v>66</v>
      </c>
      <c r="G778" s="1">
        <v>72</v>
      </c>
      <c r="H778" s="1">
        <v>70</v>
      </c>
    </row>
    <row r="779" spans="1:8" x14ac:dyDescent="0.3">
      <c r="A779" s="1" t="s">
        <v>8</v>
      </c>
      <c r="B779" s="1" t="s">
        <v>13</v>
      </c>
      <c r="C779" s="1" t="s">
        <v>14</v>
      </c>
      <c r="D779" s="1" t="s">
        <v>20</v>
      </c>
      <c r="E779" s="1" t="s">
        <v>12</v>
      </c>
      <c r="F779" s="1">
        <v>35</v>
      </c>
      <c r="G779" s="1">
        <v>44</v>
      </c>
      <c r="H779" s="1">
        <v>43</v>
      </c>
    </row>
    <row r="780" spans="1:8" x14ac:dyDescent="0.3">
      <c r="A780" s="1" t="s">
        <v>8</v>
      </c>
      <c r="B780" s="1" t="s">
        <v>18</v>
      </c>
      <c r="C780" s="1" t="s">
        <v>14</v>
      </c>
      <c r="D780" s="1" t="s">
        <v>11</v>
      </c>
      <c r="E780" s="1" t="s">
        <v>15</v>
      </c>
      <c r="F780" s="1">
        <v>72</v>
      </c>
      <c r="G780" s="1">
        <v>79</v>
      </c>
      <c r="H780" s="1">
        <v>82</v>
      </c>
    </row>
    <row r="781" spans="1:8" x14ac:dyDescent="0.3">
      <c r="A781" s="1" t="s">
        <v>17</v>
      </c>
      <c r="B781" s="1" t="s">
        <v>24</v>
      </c>
      <c r="C781" s="1" t="s">
        <v>19</v>
      </c>
      <c r="D781" s="1" t="s">
        <v>11</v>
      </c>
      <c r="E781" s="1" t="s">
        <v>15</v>
      </c>
      <c r="F781" s="1">
        <v>94</v>
      </c>
      <c r="G781" s="1">
        <v>85</v>
      </c>
      <c r="H781" s="1">
        <v>82</v>
      </c>
    </row>
    <row r="782" spans="1:8" x14ac:dyDescent="0.3">
      <c r="A782" s="1" t="s">
        <v>8</v>
      </c>
      <c r="B782" s="1" t="s">
        <v>21</v>
      </c>
      <c r="C782" s="1" t="s">
        <v>19</v>
      </c>
      <c r="D782" s="1" t="s">
        <v>20</v>
      </c>
      <c r="E782" s="1" t="s">
        <v>12</v>
      </c>
      <c r="F782" s="1">
        <v>46</v>
      </c>
      <c r="G782" s="1">
        <v>56</v>
      </c>
      <c r="H782" s="1">
        <v>57</v>
      </c>
    </row>
    <row r="783" spans="1:8" x14ac:dyDescent="0.3">
      <c r="A783" s="1" t="s">
        <v>8</v>
      </c>
      <c r="B783" s="1" t="s">
        <v>9</v>
      </c>
      <c r="C783" s="1" t="s">
        <v>16</v>
      </c>
      <c r="D783" s="1" t="s">
        <v>11</v>
      </c>
      <c r="E783" s="1" t="s">
        <v>12</v>
      </c>
      <c r="F783" s="1">
        <v>77</v>
      </c>
      <c r="G783" s="1">
        <v>90</v>
      </c>
      <c r="H783" s="1">
        <v>84</v>
      </c>
    </row>
    <row r="784" spans="1:8" x14ac:dyDescent="0.3">
      <c r="A784" s="1" t="s">
        <v>8</v>
      </c>
      <c r="B784" s="1" t="s">
        <v>9</v>
      </c>
      <c r="C784" s="1" t="s">
        <v>22</v>
      </c>
      <c r="D784" s="1" t="s">
        <v>20</v>
      </c>
      <c r="E784" s="1" t="s">
        <v>15</v>
      </c>
      <c r="F784" s="1">
        <v>76</v>
      </c>
      <c r="G784" s="1">
        <v>85</v>
      </c>
      <c r="H784" s="1">
        <v>82</v>
      </c>
    </row>
    <row r="785" spans="1:8" x14ac:dyDescent="0.3">
      <c r="A785" s="1" t="s">
        <v>8</v>
      </c>
      <c r="B785" s="1" t="s">
        <v>13</v>
      </c>
      <c r="C785" s="1" t="s">
        <v>19</v>
      </c>
      <c r="D785" s="1" t="s">
        <v>11</v>
      </c>
      <c r="E785" s="1" t="s">
        <v>15</v>
      </c>
      <c r="F785" s="1">
        <v>52</v>
      </c>
      <c r="G785" s="1">
        <v>59</v>
      </c>
      <c r="H785" s="1">
        <v>62</v>
      </c>
    </row>
    <row r="786" spans="1:8" x14ac:dyDescent="0.3">
      <c r="A786" s="1" t="s">
        <v>17</v>
      </c>
      <c r="B786" s="1" t="s">
        <v>13</v>
      </c>
      <c r="C786" s="1" t="s">
        <v>10</v>
      </c>
      <c r="D786" s="1" t="s">
        <v>11</v>
      </c>
      <c r="E786" s="1" t="s">
        <v>15</v>
      </c>
      <c r="F786" s="1">
        <v>91</v>
      </c>
      <c r="G786" s="1">
        <v>81</v>
      </c>
      <c r="H786" s="1">
        <v>79</v>
      </c>
    </row>
    <row r="787" spans="1:8" x14ac:dyDescent="0.3">
      <c r="A787" s="1" t="s">
        <v>8</v>
      </c>
      <c r="B787" s="1" t="s">
        <v>9</v>
      </c>
      <c r="C787" s="1" t="s">
        <v>23</v>
      </c>
      <c r="D787" s="1" t="s">
        <v>11</v>
      </c>
      <c r="E787" s="1" t="s">
        <v>15</v>
      </c>
      <c r="F787" s="1">
        <v>32</v>
      </c>
      <c r="G787" s="1">
        <v>51</v>
      </c>
      <c r="H787" s="1">
        <v>44</v>
      </c>
    </row>
    <row r="788" spans="1:8" x14ac:dyDescent="0.3">
      <c r="A788" s="1" t="s">
        <v>8</v>
      </c>
      <c r="B788" s="1" t="s">
        <v>24</v>
      </c>
      <c r="C788" s="1" t="s">
        <v>23</v>
      </c>
      <c r="D788" s="1" t="s">
        <v>20</v>
      </c>
      <c r="E788" s="1" t="s">
        <v>12</v>
      </c>
      <c r="F788" s="1">
        <v>72</v>
      </c>
      <c r="G788" s="1">
        <v>79</v>
      </c>
      <c r="H788" s="1">
        <v>77</v>
      </c>
    </row>
    <row r="789" spans="1:8" x14ac:dyDescent="0.3">
      <c r="A789" s="1" t="s">
        <v>8</v>
      </c>
      <c r="B789" s="1" t="s">
        <v>9</v>
      </c>
      <c r="C789" s="1" t="s">
        <v>14</v>
      </c>
      <c r="D789" s="1" t="s">
        <v>11</v>
      </c>
      <c r="E789" s="1" t="s">
        <v>12</v>
      </c>
      <c r="F789" s="1">
        <v>19</v>
      </c>
      <c r="G789" s="1">
        <v>38</v>
      </c>
      <c r="H789" s="1">
        <v>32</v>
      </c>
    </row>
    <row r="790" spans="1:8" x14ac:dyDescent="0.3">
      <c r="A790" s="1" t="s">
        <v>17</v>
      </c>
      <c r="B790" s="1" t="s">
        <v>13</v>
      </c>
      <c r="C790" s="1" t="s">
        <v>19</v>
      </c>
      <c r="D790" s="1" t="s">
        <v>20</v>
      </c>
      <c r="E790" s="1" t="s">
        <v>12</v>
      </c>
      <c r="F790" s="1">
        <v>68</v>
      </c>
      <c r="G790" s="1">
        <v>65</v>
      </c>
      <c r="H790" s="1">
        <v>61</v>
      </c>
    </row>
    <row r="791" spans="1:8" x14ac:dyDescent="0.3">
      <c r="A791" s="1" t="s">
        <v>8</v>
      </c>
      <c r="B791" s="1" t="s">
        <v>13</v>
      </c>
      <c r="C791" s="1" t="s">
        <v>16</v>
      </c>
      <c r="D791" s="1" t="s">
        <v>20</v>
      </c>
      <c r="E791" s="1" t="s">
        <v>12</v>
      </c>
      <c r="F791" s="1">
        <v>52</v>
      </c>
      <c r="G791" s="1">
        <v>65</v>
      </c>
      <c r="H791" s="1">
        <v>61</v>
      </c>
    </row>
    <row r="792" spans="1:8" x14ac:dyDescent="0.3">
      <c r="A792" s="1" t="s">
        <v>8</v>
      </c>
      <c r="B792" s="1" t="s">
        <v>9</v>
      </c>
      <c r="C792" s="1" t="s">
        <v>22</v>
      </c>
      <c r="D792" s="1" t="s">
        <v>11</v>
      </c>
      <c r="E792" s="1" t="s">
        <v>12</v>
      </c>
      <c r="F792" s="1">
        <v>48</v>
      </c>
      <c r="G792" s="1">
        <v>62</v>
      </c>
      <c r="H792" s="1">
        <v>60</v>
      </c>
    </row>
    <row r="793" spans="1:8" x14ac:dyDescent="0.3">
      <c r="A793" s="1" t="s">
        <v>8</v>
      </c>
      <c r="B793" s="1" t="s">
        <v>21</v>
      </c>
      <c r="C793" s="1" t="s">
        <v>14</v>
      </c>
      <c r="D793" s="1" t="s">
        <v>20</v>
      </c>
      <c r="E793" s="1" t="s">
        <v>12</v>
      </c>
      <c r="F793" s="1">
        <v>60</v>
      </c>
      <c r="G793" s="1">
        <v>66</v>
      </c>
      <c r="H793" s="1">
        <v>70</v>
      </c>
    </row>
    <row r="794" spans="1:8" x14ac:dyDescent="0.3">
      <c r="A794" s="1" t="s">
        <v>17</v>
      </c>
      <c r="B794" s="1" t="s">
        <v>21</v>
      </c>
      <c r="C794" s="1" t="s">
        <v>22</v>
      </c>
      <c r="D794" s="1" t="s">
        <v>20</v>
      </c>
      <c r="E794" s="1" t="s">
        <v>12</v>
      </c>
      <c r="F794" s="1">
        <v>66</v>
      </c>
      <c r="G794" s="1">
        <v>74</v>
      </c>
      <c r="H794" s="1">
        <v>69</v>
      </c>
    </row>
    <row r="795" spans="1:8" x14ac:dyDescent="0.3">
      <c r="A795" s="1" t="s">
        <v>17</v>
      </c>
      <c r="B795" s="1" t="s">
        <v>24</v>
      </c>
      <c r="C795" s="1" t="s">
        <v>23</v>
      </c>
      <c r="D795" s="1" t="s">
        <v>11</v>
      </c>
      <c r="E795" s="1" t="s">
        <v>15</v>
      </c>
      <c r="F795" s="1">
        <v>89</v>
      </c>
      <c r="G795" s="1">
        <v>84</v>
      </c>
      <c r="H795" s="1">
        <v>77</v>
      </c>
    </row>
    <row r="796" spans="1:8" x14ac:dyDescent="0.3">
      <c r="A796" s="1" t="s">
        <v>8</v>
      </c>
      <c r="B796" s="1" t="s">
        <v>9</v>
      </c>
      <c r="C796" s="1" t="s">
        <v>22</v>
      </c>
      <c r="D796" s="1" t="s">
        <v>11</v>
      </c>
      <c r="E796" s="1" t="s">
        <v>12</v>
      </c>
      <c r="F796" s="1">
        <v>42</v>
      </c>
      <c r="G796" s="1">
        <v>52</v>
      </c>
      <c r="H796" s="1">
        <v>51</v>
      </c>
    </row>
    <row r="797" spans="1:8" x14ac:dyDescent="0.3">
      <c r="A797" s="1" t="s">
        <v>8</v>
      </c>
      <c r="B797" s="1" t="s">
        <v>24</v>
      </c>
      <c r="C797" s="1" t="s">
        <v>19</v>
      </c>
      <c r="D797" s="1" t="s">
        <v>20</v>
      </c>
      <c r="E797" s="1" t="s">
        <v>15</v>
      </c>
      <c r="F797" s="1">
        <v>57</v>
      </c>
      <c r="G797" s="1">
        <v>68</v>
      </c>
      <c r="H797" s="1">
        <v>73</v>
      </c>
    </row>
    <row r="798" spans="1:8" x14ac:dyDescent="0.3">
      <c r="A798" s="1" t="s">
        <v>17</v>
      </c>
      <c r="B798" s="1" t="s">
        <v>21</v>
      </c>
      <c r="C798" s="1" t="s">
        <v>22</v>
      </c>
      <c r="D798" s="1" t="s">
        <v>11</v>
      </c>
      <c r="E798" s="1" t="s">
        <v>12</v>
      </c>
      <c r="F798" s="1">
        <v>70</v>
      </c>
      <c r="G798" s="1">
        <v>70</v>
      </c>
      <c r="H798" s="1">
        <v>70</v>
      </c>
    </row>
    <row r="799" spans="1:8" x14ac:dyDescent="0.3">
      <c r="A799" s="1" t="s">
        <v>8</v>
      </c>
      <c r="B799" s="1" t="s">
        <v>24</v>
      </c>
      <c r="C799" s="1" t="s">
        <v>19</v>
      </c>
      <c r="D799" s="1" t="s">
        <v>20</v>
      </c>
      <c r="E799" s="1" t="s">
        <v>12</v>
      </c>
      <c r="F799" s="1">
        <v>70</v>
      </c>
      <c r="G799" s="1">
        <v>84</v>
      </c>
      <c r="H799" s="1">
        <v>81</v>
      </c>
    </row>
    <row r="800" spans="1:8" x14ac:dyDescent="0.3">
      <c r="A800" s="1" t="s">
        <v>17</v>
      </c>
      <c r="B800" s="1" t="s">
        <v>24</v>
      </c>
      <c r="C800" s="1" t="s">
        <v>14</v>
      </c>
      <c r="D800" s="1" t="s">
        <v>11</v>
      </c>
      <c r="E800" s="1" t="s">
        <v>12</v>
      </c>
      <c r="F800" s="1">
        <v>69</v>
      </c>
      <c r="G800" s="1">
        <v>60</v>
      </c>
      <c r="H800" s="1">
        <v>54</v>
      </c>
    </row>
    <row r="801" spans="1:8" x14ac:dyDescent="0.3">
      <c r="A801" s="1" t="s">
        <v>8</v>
      </c>
      <c r="B801" s="1" t="s">
        <v>13</v>
      </c>
      <c r="C801" s="1" t="s">
        <v>19</v>
      </c>
      <c r="D801" s="1" t="s">
        <v>11</v>
      </c>
      <c r="E801" s="1" t="s">
        <v>12</v>
      </c>
      <c r="F801" s="1">
        <v>52</v>
      </c>
      <c r="G801" s="1">
        <v>55</v>
      </c>
      <c r="H801" s="1">
        <v>57</v>
      </c>
    </row>
    <row r="802" spans="1:8" x14ac:dyDescent="0.3">
      <c r="A802" s="1" t="s">
        <v>17</v>
      </c>
      <c r="B802" s="1" t="s">
        <v>13</v>
      </c>
      <c r="C802" s="1" t="s">
        <v>23</v>
      </c>
      <c r="D802" s="1" t="s">
        <v>11</v>
      </c>
      <c r="E802" s="1" t="s">
        <v>15</v>
      </c>
      <c r="F802" s="1">
        <v>67</v>
      </c>
      <c r="G802" s="1">
        <v>73</v>
      </c>
      <c r="H802" s="1">
        <v>68</v>
      </c>
    </row>
    <row r="803" spans="1:8" x14ac:dyDescent="0.3">
      <c r="A803" s="1" t="s">
        <v>17</v>
      </c>
      <c r="B803" s="1" t="s">
        <v>13</v>
      </c>
      <c r="C803" s="1" t="s">
        <v>23</v>
      </c>
      <c r="D803" s="1" t="s">
        <v>11</v>
      </c>
      <c r="E803" s="1" t="s">
        <v>15</v>
      </c>
      <c r="F803" s="1">
        <v>76</v>
      </c>
      <c r="G803" s="1">
        <v>80</v>
      </c>
      <c r="H803" s="1">
        <v>73</v>
      </c>
    </row>
    <row r="804" spans="1:8" x14ac:dyDescent="0.3">
      <c r="A804" s="1" t="s">
        <v>8</v>
      </c>
      <c r="B804" s="1" t="s">
        <v>24</v>
      </c>
      <c r="C804" s="1" t="s">
        <v>19</v>
      </c>
      <c r="D804" s="1" t="s">
        <v>11</v>
      </c>
      <c r="E804" s="1" t="s">
        <v>12</v>
      </c>
      <c r="F804" s="1">
        <v>87</v>
      </c>
      <c r="G804" s="1">
        <v>94</v>
      </c>
      <c r="H804" s="1">
        <v>95</v>
      </c>
    </row>
    <row r="805" spans="1:8" x14ac:dyDescent="0.3">
      <c r="A805" s="1" t="s">
        <v>8</v>
      </c>
      <c r="B805" s="1" t="s">
        <v>9</v>
      </c>
      <c r="C805" s="1" t="s">
        <v>14</v>
      </c>
      <c r="D805" s="1" t="s">
        <v>11</v>
      </c>
      <c r="E805" s="1" t="s">
        <v>12</v>
      </c>
      <c r="F805" s="1">
        <v>82</v>
      </c>
      <c r="G805" s="1">
        <v>85</v>
      </c>
      <c r="H805" s="1">
        <v>87</v>
      </c>
    </row>
    <row r="806" spans="1:8" x14ac:dyDescent="0.3">
      <c r="A806" s="1" t="s">
        <v>8</v>
      </c>
      <c r="B806" s="1" t="s">
        <v>13</v>
      </c>
      <c r="C806" s="1" t="s">
        <v>14</v>
      </c>
      <c r="D806" s="1" t="s">
        <v>11</v>
      </c>
      <c r="E806" s="1" t="s">
        <v>12</v>
      </c>
      <c r="F806" s="1">
        <v>73</v>
      </c>
      <c r="G806" s="1">
        <v>76</v>
      </c>
      <c r="H806" s="1">
        <v>78</v>
      </c>
    </row>
    <row r="807" spans="1:8" x14ac:dyDescent="0.3">
      <c r="A807" s="1" t="s">
        <v>17</v>
      </c>
      <c r="B807" s="1" t="s">
        <v>18</v>
      </c>
      <c r="C807" s="1" t="s">
        <v>14</v>
      </c>
      <c r="D807" s="1" t="s">
        <v>20</v>
      </c>
      <c r="E807" s="1" t="s">
        <v>12</v>
      </c>
      <c r="F807" s="1">
        <v>75</v>
      </c>
      <c r="G807" s="1">
        <v>81</v>
      </c>
      <c r="H807" s="1">
        <v>74</v>
      </c>
    </row>
    <row r="808" spans="1:8" x14ac:dyDescent="0.3">
      <c r="A808" s="1" t="s">
        <v>8</v>
      </c>
      <c r="B808" s="1" t="s">
        <v>21</v>
      </c>
      <c r="C808" s="1" t="s">
        <v>14</v>
      </c>
      <c r="D808" s="1" t="s">
        <v>20</v>
      </c>
      <c r="E808" s="1" t="s">
        <v>12</v>
      </c>
      <c r="F808" s="1">
        <v>64</v>
      </c>
      <c r="G808" s="1">
        <v>74</v>
      </c>
      <c r="H808" s="1">
        <v>75</v>
      </c>
    </row>
    <row r="809" spans="1:8" x14ac:dyDescent="0.3">
      <c r="A809" s="1" t="s">
        <v>8</v>
      </c>
      <c r="B809" s="1" t="s">
        <v>24</v>
      </c>
      <c r="C809" s="1" t="s">
        <v>22</v>
      </c>
      <c r="D809" s="1" t="s">
        <v>20</v>
      </c>
      <c r="E809" s="1" t="s">
        <v>12</v>
      </c>
      <c r="F809" s="1">
        <v>41</v>
      </c>
      <c r="G809" s="1">
        <v>45</v>
      </c>
      <c r="H809" s="1">
        <v>40</v>
      </c>
    </row>
    <row r="810" spans="1:8" x14ac:dyDescent="0.3">
      <c r="A810" s="1" t="s">
        <v>17</v>
      </c>
      <c r="B810" s="1" t="s">
        <v>13</v>
      </c>
      <c r="C810" s="1" t="s">
        <v>22</v>
      </c>
      <c r="D810" s="1" t="s">
        <v>11</v>
      </c>
      <c r="E810" s="1" t="s">
        <v>12</v>
      </c>
      <c r="F810" s="1">
        <v>90</v>
      </c>
      <c r="G810" s="1">
        <v>75</v>
      </c>
      <c r="H810" s="1">
        <v>69</v>
      </c>
    </row>
    <row r="811" spans="1:8" x14ac:dyDescent="0.3">
      <c r="A811" s="1" t="s">
        <v>17</v>
      </c>
      <c r="B811" s="1" t="s">
        <v>9</v>
      </c>
      <c r="C811" s="1" t="s">
        <v>10</v>
      </c>
      <c r="D811" s="1" t="s">
        <v>11</v>
      </c>
      <c r="E811" s="1" t="s">
        <v>12</v>
      </c>
      <c r="F811" s="1">
        <v>59</v>
      </c>
      <c r="G811" s="1">
        <v>54</v>
      </c>
      <c r="H811" s="1">
        <v>51</v>
      </c>
    </row>
    <row r="812" spans="1:8" x14ac:dyDescent="0.3">
      <c r="A812" s="1" t="s">
        <v>17</v>
      </c>
      <c r="B812" s="1" t="s">
        <v>18</v>
      </c>
      <c r="C812" s="1" t="s">
        <v>23</v>
      </c>
      <c r="D812" s="1" t="s">
        <v>11</v>
      </c>
      <c r="E812" s="1" t="s">
        <v>12</v>
      </c>
      <c r="F812" s="1">
        <v>51</v>
      </c>
      <c r="G812" s="1">
        <v>31</v>
      </c>
      <c r="H812" s="1">
        <v>36</v>
      </c>
    </row>
    <row r="813" spans="1:8" x14ac:dyDescent="0.3">
      <c r="A813" s="1" t="s">
        <v>17</v>
      </c>
      <c r="B813" s="1" t="s">
        <v>18</v>
      </c>
      <c r="C813" s="1" t="s">
        <v>22</v>
      </c>
      <c r="D813" s="1" t="s">
        <v>20</v>
      </c>
      <c r="E813" s="1" t="s">
        <v>12</v>
      </c>
      <c r="F813" s="1">
        <v>45</v>
      </c>
      <c r="G813" s="1">
        <v>47</v>
      </c>
      <c r="H813" s="1">
        <v>49</v>
      </c>
    </row>
    <row r="814" spans="1:8" x14ac:dyDescent="0.3">
      <c r="A814" s="1" t="s">
        <v>8</v>
      </c>
      <c r="B814" s="1" t="s">
        <v>13</v>
      </c>
      <c r="C814" s="1" t="s">
        <v>16</v>
      </c>
      <c r="D814" s="1" t="s">
        <v>11</v>
      </c>
      <c r="E814" s="1" t="s">
        <v>15</v>
      </c>
      <c r="F814" s="1">
        <v>54</v>
      </c>
      <c r="G814" s="1">
        <v>64</v>
      </c>
      <c r="H814" s="1">
        <v>67</v>
      </c>
    </row>
    <row r="815" spans="1:8" x14ac:dyDescent="0.3">
      <c r="A815" s="1" t="s">
        <v>17</v>
      </c>
      <c r="B815" s="1" t="s">
        <v>24</v>
      </c>
      <c r="C815" s="1" t="s">
        <v>23</v>
      </c>
      <c r="D815" s="1" t="s">
        <v>11</v>
      </c>
      <c r="E815" s="1" t="s">
        <v>15</v>
      </c>
      <c r="F815" s="1">
        <v>87</v>
      </c>
      <c r="G815" s="1">
        <v>84</v>
      </c>
      <c r="H815" s="1">
        <v>76</v>
      </c>
    </row>
    <row r="816" spans="1:8" x14ac:dyDescent="0.3">
      <c r="A816" s="1" t="s">
        <v>8</v>
      </c>
      <c r="B816" s="1" t="s">
        <v>13</v>
      </c>
      <c r="C816" s="1" t="s">
        <v>22</v>
      </c>
      <c r="D816" s="1" t="s">
        <v>11</v>
      </c>
      <c r="E816" s="1" t="s">
        <v>12</v>
      </c>
      <c r="F816" s="1">
        <v>72</v>
      </c>
      <c r="G816" s="1">
        <v>80</v>
      </c>
      <c r="H816" s="1">
        <v>83</v>
      </c>
    </row>
    <row r="817" spans="1:8" x14ac:dyDescent="0.3">
      <c r="A817" s="1" t="s">
        <v>17</v>
      </c>
      <c r="B817" s="1" t="s">
        <v>9</v>
      </c>
      <c r="C817" s="1" t="s">
        <v>23</v>
      </c>
      <c r="D817" s="1" t="s">
        <v>11</v>
      </c>
      <c r="E817" s="1" t="s">
        <v>15</v>
      </c>
      <c r="F817" s="1">
        <v>94</v>
      </c>
      <c r="G817" s="1">
        <v>86</v>
      </c>
      <c r="H817" s="1">
        <v>87</v>
      </c>
    </row>
    <row r="818" spans="1:8" x14ac:dyDescent="0.3">
      <c r="A818" s="1" t="s">
        <v>8</v>
      </c>
      <c r="B818" s="1" t="s">
        <v>18</v>
      </c>
      <c r="C818" s="1" t="s">
        <v>10</v>
      </c>
      <c r="D818" s="1" t="s">
        <v>11</v>
      </c>
      <c r="E818" s="1" t="s">
        <v>12</v>
      </c>
      <c r="F818" s="1">
        <v>45</v>
      </c>
      <c r="G818" s="1">
        <v>59</v>
      </c>
      <c r="H818" s="1">
        <v>64</v>
      </c>
    </row>
    <row r="819" spans="1:8" x14ac:dyDescent="0.3">
      <c r="A819" s="1" t="s">
        <v>17</v>
      </c>
      <c r="B819" s="1" t="s">
        <v>21</v>
      </c>
      <c r="C819" s="1" t="s">
        <v>10</v>
      </c>
      <c r="D819" s="1" t="s">
        <v>20</v>
      </c>
      <c r="E819" s="1" t="s">
        <v>15</v>
      </c>
      <c r="F819" s="1">
        <v>61</v>
      </c>
      <c r="G819" s="1">
        <v>70</v>
      </c>
      <c r="H819" s="1">
        <v>76</v>
      </c>
    </row>
    <row r="820" spans="1:8" x14ac:dyDescent="0.3">
      <c r="A820" s="1" t="s">
        <v>8</v>
      </c>
      <c r="B820" s="1" t="s">
        <v>9</v>
      </c>
      <c r="C820" s="1" t="s">
        <v>22</v>
      </c>
      <c r="D820" s="1" t="s">
        <v>20</v>
      </c>
      <c r="E820" s="1" t="s">
        <v>12</v>
      </c>
      <c r="F820" s="1">
        <v>60</v>
      </c>
      <c r="G820" s="1">
        <v>72</v>
      </c>
      <c r="H820" s="1">
        <v>68</v>
      </c>
    </row>
    <row r="821" spans="1:8" x14ac:dyDescent="0.3">
      <c r="A821" s="1" t="s">
        <v>8</v>
      </c>
      <c r="B821" s="1" t="s">
        <v>13</v>
      </c>
      <c r="C821" s="1" t="s">
        <v>23</v>
      </c>
      <c r="D821" s="1" t="s">
        <v>11</v>
      </c>
      <c r="E821" s="1" t="s">
        <v>12</v>
      </c>
      <c r="F821" s="1">
        <v>77</v>
      </c>
      <c r="G821" s="1">
        <v>91</v>
      </c>
      <c r="H821" s="1">
        <v>88</v>
      </c>
    </row>
    <row r="822" spans="1:8" x14ac:dyDescent="0.3">
      <c r="A822" s="1" t="s">
        <v>8</v>
      </c>
      <c r="B822" s="1" t="s">
        <v>18</v>
      </c>
      <c r="C822" s="1" t="s">
        <v>23</v>
      </c>
      <c r="D822" s="1" t="s">
        <v>11</v>
      </c>
      <c r="E822" s="1" t="s">
        <v>15</v>
      </c>
      <c r="F822" s="1">
        <v>85</v>
      </c>
      <c r="G822" s="1">
        <v>90</v>
      </c>
      <c r="H822" s="1">
        <v>92</v>
      </c>
    </row>
    <row r="823" spans="1:8" x14ac:dyDescent="0.3">
      <c r="A823" s="1" t="s">
        <v>8</v>
      </c>
      <c r="B823" s="1" t="s">
        <v>21</v>
      </c>
      <c r="C823" s="1" t="s">
        <v>10</v>
      </c>
      <c r="D823" s="1" t="s">
        <v>20</v>
      </c>
      <c r="E823" s="1" t="s">
        <v>12</v>
      </c>
      <c r="F823" s="1">
        <v>78</v>
      </c>
      <c r="G823" s="1">
        <v>90</v>
      </c>
      <c r="H823" s="1">
        <v>93</v>
      </c>
    </row>
    <row r="824" spans="1:8" x14ac:dyDescent="0.3">
      <c r="A824" s="1" t="s">
        <v>17</v>
      </c>
      <c r="B824" s="1" t="s">
        <v>24</v>
      </c>
      <c r="C824" s="1" t="s">
        <v>14</v>
      </c>
      <c r="D824" s="1" t="s">
        <v>20</v>
      </c>
      <c r="E824" s="1" t="s">
        <v>15</v>
      </c>
      <c r="F824" s="1">
        <v>49</v>
      </c>
      <c r="G824" s="1">
        <v>52</v>
      </c>
      <c r="H824" s="1">
        <v>51</v>
      </c>
    </row>
    <row r="825" spans="1:8" x14ac:dyDescent="0.3">
      <c r="A825" s="1" t="s">
        <v>8</v>
      </c>
      <c r="B825" s="1" t="s">
        <v>9</v>
      </c>
      <c r="C825" s="1" t="s">
        <v>22</v>
      </c>
      <c r="D825" s="1" t="s">
        <v>20</v>
      </c>
      <c r="E825" s="1" t="s">
        <v>12</v>
      </c>
      <c r="F825" s="1">
        <v>71</v>
      </c>
      <c r="G825" s="1">
        <v>87</v>
      </c>
      <c r="H825" s="1">
        <v>82</v>
      </c>
    </row>
    <row r="826" spans="1:8" x14ac:dyDescent="0.3">
      <c r="A826" s="1" t="s">
        <v>8</v>
      </c>
      <c r="B826" s="1" t="s">
        <v>13</v>
      </c>
      <c r="C826" s="1" t="s">
        <v>23</v>
      </c>
      <c r="D826" s="1" t="s">
        <v>20</v>
      </c>
      <c r="E826" s="1" t="s">
        <v>12</v>
      </c>
      <c r="F826" s="1">
        <v>48</v>
      </c>
      <c r="G826" s="1">
        <v>58</v>
      </c>
      <c r="H826" s="1">
        <v>52</v>
      </c>
    </row>
    <row r="827" spans="1:8" x14ac:dyDescent="0.3">
      <c r="A827" s="1" t="s">
        <v>17</v>
      </c>
      <c r="B827" s="1" t="s">
        <v>13</v>
      </c>
      <c r="C827" s="1" t="s">
        <v>22</v>
      </c>
      <c r="D827" s="1" t="s">
        <v>11</v>
      </c>
      <c r="E827" s="1" t="s">
        <v>12</v>
      </c>
      <c r="F827" s="1">
        <v>62</v>
      </c>
      <c r="G827" s="1">
        <v>67</v>
      </c>
      <c r="H827" s="1">
        <v>58</v>
      </c>
    </row>
    <row r="828" spans="1:8" x14ac:dyDescent="0.3">
      <c r="A828" s="1" t="s">
        <v>8</v>
      </c>
      <c r="B828" s="1" t="s">
        <v>13</v>
      </c>
      <c r="C828" s="1" t="s">
        <v>19</v>
      </c>
      <c r="D828" s="1" t="s">
        <v>20</v>
      </c>
      <c r="E828" s="1" t="s">
        <v>15</v>
      </c>
      <c r="F828" s="1">
        <v>56</v>
      </c>
      <c r="G828" s="1">
        <v>68</v>
      </c>
      <c r="H828" s="1">
        <v>70</v>
      </c>
    </row>
    <row r="829" spans="1:8" x14ac:dyDescent="0.3">
      <c r="A829" s="1" t="s">
        <v>8</v>
      </c>
      <c r="B829" s="1" t="s">
        <v>13</v>
      </c>
      <c r="C829" s="1" t="s">
        <v>23</v>
      </c>
      <c r="D829" s="1" t="s">
        <v>11</v>
      </c>
      <c r="E829" s="1" t="s">
        <v>12</v>
      </c>
      <c r="F829" s="1">
        <v>65</v>
      </c>
      <c r="G829" s="1">
        <v>69</v>
      </c>
      <c r="H829" s="1">
        <v>76</v>
      </c>
    </row>
    <row r="830" spans="1:8" x14ac:dyDescent="0.3">
      <c r="A830" s="1" t="s">
        <v>8</v>
      </c>
      <c r="B830" s="1" t="s">
        <v>21</v>
      </c>
      <c r="C830" s="1" t="s">
        <v>23</v>
      </c>
      <c r="D830" s="1" t="s">
        <v>20</v>
      </c>
      <c r="E830" s="1" t="s">
        <v>15</v>
      </c>
      <c r="F830" s="1">
        <v>69</v>
      </c>
      <c r="G830" s="1">
        <v>86</v>
      </c>
      <c r="H830" s="1">
        <v>81</v>
      </c>
    </row>
    <row r="831" spans="1:8" x14ac:dyDescent="0.3">
      <c r="A831" s="1" t="s">
        <v>17</v>
      </c>
      <c r="B831" s="1" t="s">
        <v>9</v>
      </c>
      <c r="C831" s="1" t="s">
        <v>23</v>
      </c>
      <c r="D831" s="1" t="s">
        <v>11</v>
      </c>
      <c r="E831" s="1" t="s">
        <v>12</v>
      </c>
      <c r="F831" s="1">
        <v>68</v>
      </c>
      <c r="G831" s="1">
        <v>54</v>
      </c>
      <c r="H831" s="1">
        <v>53</v>
      </c>
    </row>
    <row r="832" spans="1:8" x14ac:dyDescent="0.3">
      <c r="A832" s="1" t="s">
        <v>8</v>
      </c>
      <c r="B832" s="1" t="s">
        <v>18</v>
      </c>
      <c r="C832" s="1" t="s">
        <v>14</v>
      </c>
      <c r="D832" s="1" t="s">
        <v>20</v>
      </c>
      <c r="E832" s="1" t="s">
        <v>12</v>
      </c>
      <c r="F832" s="1">
        <v>61</v>
      </c>
      <c r="G832" s="1">
        <v>60</v>
      </c>
      <c r="H832" s="1">
        <v>57</v>
      </c>
    </row>
    <row r="833" spans="1:8" x14ac:dyDescent="0.3">
      <c r="A833" s="1" t="s">
        <v>8</v>
      </c>
      <c r="B833" s="1" t="s">
        <v>13</v>
      </c>
      <c r="C833" s="1" t="s">
        <v>10</v>
      </c>
      <c r="D833" s="1" t="s">
        <v>20</v>
      </c>
      <c r="E833" s="1" t="s">
        <v>15</v>
      </c>
      <c r="F833" s="1">
        <v>74</v>
      </c>
      <c r="G833" s="1">
        <v>86</v>
      </c>
      <c r="H833" s="1">
        <v>89</v>
      </c>
    </row>
    <row r="834" spans="1:8" x14ac:dyDescent="0.3">
      <c r="A834" s="1" t="s">
        <v>17</v>
      </c>
      <c r="B834" s="1" t="s">
        <v>18</v>
      </c>
      <c r="C834" s="1" t="s">
        <v>10</v>
      </c>
      <c r="D834" s="1" t="s">
        <v>11</v>
      </c>
      <c r="E834" s="1" t="s">
        <v>12</v>
      </c>
      <c r="F834" s="1">
        <v>64</v>
      </c>
      <c r="G834" s="1">
        <v>60</v>
      </c>
      <c r="H834" s="1">
        <v>58</v>
      </c>
    </row>
    <row r="835" spans="1:8" x14ac:dyDescent="0.3">
      <c r="A835" s="1" t="s">
        <v>8</v>
      </c>
      <c r="B835" s="1" t="s">
        <v>9</v>
      </c>
      <c r="C835" s="1" t="s">
        <v>22</v>
      </c>
      <c r="D835" s="1" t="s">
        <v>11</v>
      </c>
      <c r="E835" s="1" t="s">
        <v>15</v>
      </c>
      <c r="F835" s="1">
        <v>77</v>
      </c>
      <c r="G835" s="1">
        <v>82</v>
      </c>
      <c r="H835" s="1">
        <v>89</v>
      </c>
    </row>
    <row r="836" spans="1:8" x14ac:dyDescent="0.3">
      <c r="A836" s="1" t="s">
        <v>17</v>
      </c>
      <c r="B836" s="1" t="s">
        <v>9</v>
      </c>
      <c r="C836" s="1" t="s">
        <v>14</v>
      </c>
      <c r="D836" s="1" t="s">
        <v>11</v>
      </c>
      <c r="E836" s="1" t="s">
        <v>12</v>
      </c>
      <c r="F836" s="1">
        <v>58</v>
      </c>
      <c r="G836" s="1">
        <v>50</v>
      </c>
      <c r="H836" s="1">
        <v>45</v>
      </c>
    </row>
    <row r="837" spans="1:8" x14ac:dyDescent="0.3">
      <c r="A837" s="1" t="s">
        <v>8</v>
      </c>
      <c r="B837" s="1" t="s">
        <v>13</v>
      </c>
      <c r="C837" s="1" t="s">
        <v>22</v>
      </c>
      <c r="D837" s="1" t="s">
        <v>11</v>
      </c>
      <c r="E837" s="1" t="s">
        <v>15</v>
      </c>
      <c r="F837" s="1">
        <v>60</v>
      </c>
      <c r="G837" s="1">
        <v>64</v>
      </c>
      <c r="H837" s="1">
        <v>74</v>
      </c>
    </row>
    <row r="838" spans="1:8" x14ac:dyDescent="0.3">
      <c r="A838" s="1" t="s">
        <v>17</v>
      </c>
      <c r="B838" s="1" t="s">
        <v>24</v>
      </c>
      <c r="C838" s="1" t="s">
        <v>22</v>
      </c>
      <c r="D838" s="1" t="s">
        <v>11</v>
      </c>
      <c r="E838" s="1" t="s">
        <v>12</v>
      </c>
      <c r="F838" s="1">
        <v>73</v>
      </c>
      <c r="G838" s="1">
        <v>64</v>
      </c>
      <c r="H838" s="1">
        <v>57</v>
      </c>
    </row>
    <row r="839" spans="1:8" x14ac:dyDescent="0.3">
      <c r="A839" s="1" t="s">
        <v>8</v>
      </c>
      <c r="B839" s="1" t="s">
        <v>18</v>
      </c>
      <c r="C839" s="1" t="s">
        <v>22</v>
      </c>
      <c r="D839" s="1" t="s">
        <v>11</v>
      </c>
      <c r="E839" s="1" t="s">
        <v>15</v>
      </c>
      <c r="F839" s="1">
        <v>75</v>
      </c>
      <c r="G839" s="1">
        <v>82</v>
      </c>
      <c r="H839" s="1">
        <v>79</v>
      </c>
    </row>
    <row r="840" spans="1:8" x14ac:dyDescent="0.3">
      <c r="A840" s="1" t="s">
        <v>17</v>
      </c>
      <c r="B840" s="1" t="s">
        <v>9</v>
      </c>
      <c r="C840" s="1" t="s">
        <v>19</v>
      </c>
      <c r="D840" s="1" t="s">
        <v>20</v>
      </c>
      <c r="E840" s="1" t="s">
        <v>15</v>
      </c>
      <c r="F840" s="1">
        <v>58</v>
      </c>
      <c r="G840" s="1">
        <v>57</v>
      </c>
      <c r="H840" s="1">
        <v>53</v>
      </c>
    </row>
    <row r="841" spans="1:8" x14ac:dyDescent="0.3">
      <c r="A841" s="1" t="s">
        <v>8</v>
      </c>
      <c r="B841" s="1" t="s">
        <v>13</v>
      </c>
      <c r="C841" s="1" t="s">
        <v>19</v>
      </c>
      <c r="D841" s="1" t="s">
        <v>11</v>
      </c>
      <c r="E841" s="1" t="s">
        <v>12</v>
      </c>
      <c r="F841" s="1">
        <v>66</v>
      </c>
      <c r="G841" s="1">
        <v>77</v>
      </c>
      <c r="H841" s="1">
        <v>73</v>
      </c>
    </row>
    <row r="842" spans="1:8" x14ac:dyDescent="0.3">
      <c r="A842" s="1" t="s">
        <v>8</v>
      </c>
      <c r="B842" s="1" t="s">
        <v>21</v>
      </c>
      <c r="C842" s="1" t="s">
        <v>22</v>
      </c>
      <c r="D842" s="1" t="s">
        <v>20</v>
      </c>
      <c r="E842" s="1" t="s">
        <v>12</v>
      </c>
      <c r="F842" s="1">
        <v>39</v>
      </c>
      <c r="G842" s="1">
        <v>52</v>
      </c>
      <c r="H842" s="1">
        <v>46</v>
      </c>
    </row>
    <row r="843" spans="1:8" x14ac:dyDescent="0.3">
      <c r="A843" s="1" t="s">
        <v>17</v>
      </c>
      <c r="B843" s="1" t="s">
        <v>13</v>
      </c>
      <c r="C843" s="1" t="s">
        <v>23</v>
      </c>
      <c r="D843" s="1" t="s">
        <v>11</v>
      </c>
      <c r="E843" s="1" t="s">
        <v>12</v>
      </c>
      <c r="F843" s="1">
        <v>64</v>
      </c>
      <c r="G843" s="1">
        <v>58</v>
      </c>
      <c r="H843" s="1">
        <v>51</v>
      </c>
    </row>
    <row r="844" spans="1:8" x14ac:dyDescent="0.3">
      <c r="A844" s="1" t="s">
        <v>8</v>
      </c>
      <c r="B844" s="1" t="s">
        <v>9</v>
      </c>
      <c r="C844" s="1" t="s">
        <v>22</v>
      </c>
      <c r="D844" s="1" t="s">
        <v>20</v>
      </c>
      <c r="E844" s="1" t="s">
        <v>15</v>
      </c>
      <c r="F844" s="1">
        <v>23</v>
      </c>
      <c r="G844" s="1">
        <v>44</v>
      </c>
      <c r="H844" s="1">
        <v>36</v>
      </c>
    </row>
    <row r="845" spans="1:8" x14ac:dyDescent="0.3">
      <c r="A845" s="1" t="s">
        <v>17</v>
      </c>
      <c r="B845" s="1" t="s">
        <v>9</v>
      </c>
      <c r="C845" s="1" t="s">
        <v>14</v>
      </c>
      <c r="D845" s="1" t="s">
        <v>20</v>
      </c>
      <c r="E845" s="1" t="s">
        <v>15</v>
      </c>
      <c r="F845" s="1">
        <v>74</v>
      </c>
      <c r="G845" s="1">
        <v>77</v>
      </c>
      <c r="H845" s="1">
        <v>76</v>
      </c>
    </row>
    <row r="846" spans="1:8" x14ac:dyDescent="0.3">
      <c r="A846" s="1" t="s">
        <v>8</v>
      </c>
      <c r="B846" s="1" t="s">
        <v>21</v>
      </c>
      <c r="C846" s="1" t="s">
        <v>23</v>
      </c>
      <c r="D846" s="1" t="s">
        <v>20</v>
      </c>
      <c r="E846" s="1" t="s">
        <v>15</v>
      </c>
      <c r="F846" s="1">
        <v>40</v>
      </c>
      <c r="G846" s="1">
        <v>65</v>
      </c>
      <c r="H846" s="1">
        <v>64</v>
      </c>
    </row>
    <row r="847" spans="1:8" x14ac:dyDescent="0.3">
      <c r="A847" s="1" t="s">
        <v>17</v>
      </c>
      <c r="B847" s="1" t="s">
        <v>24</v>
      </c>
      <c r="C847" s="1" t="s">
        <v>16</v>
      </c>
      <c r="D847" s="1" t="s">
        <v>11</v>
      </c>
      <c r="E847" s="1" t="s">
        <v>12</v>
      </c>
      <c r="F847" s="1">
        <v>90</v>
      </c>
      <c r="G847" s="1">
        <v>85</v>
      </c>
      <c r="H847" s="1">
        <v>84</v>
      </c>
    </row>
    <row r="848" spans="1:8" x14ac:dyDescent="0.3">
      <c r="A848" s="1" t="s">
        <v>17</v>
      </c>
      <c r="B848" s="1" t="s">
        <v>13</v>
      </c>
      <c r="C848" s="1" t="s">
        <v>16</v>
      </c>
      <c r="D848" s="1" t="s">
        <v>11</v>
      </c>
      <c r="E848" s="1" t="s">
        <v>15</v>
      </c>
      <c r="F848" s="1">
        <v>91</v>
      </c>
      <c r="G848" s="1">
        <v>85</v>
      </c>
      <c r="H848" s="1">
        <v>85</v>
      </c>
    </row>
    <row r="849" spans="1:8" x14ac:dyDescent="0.3">
      <c r="A849" s="1" t="s">
        <v>17</v>
      </c>
      <c r="B849" s="1" t="s">
        <v>21</v>
      </c>
      <c r="C849" s="1" t="s">
        <v>22</v>
      </c>
      <c r="D849" s="1" t="s">
        <v>11</v>
      </c>
      <c r="E849" s="1" t="s">
        <v>12</v>
      </c>
      <c r="F849" s="1">
        <v>64</v>
      </c>
      <c r="G849" s="1">
        <v>54</v>
      </c>
      <c r="H849" s="1">
        <v>50</v>
      </c>
    </row>
    <row r="850" spans="1:8" x14ac:dyDescent="0.3">
      <c r="A850" s="1" t="s">
        <v>8</v>
      </c>
      <c r="B850" s="1" t="s">
        <v>13</v>
      </c>
      <c r="C850" s="1" t="s">
        <v>22</v>
      </c>
      <c r="D850" s="1" t="s">
        <v>11</v>
      </c>
      <c r="E850" s="1" t="s">
        <v>12</v>
      </c>
      <c r="F850" s="1">
        <v>59</v>
      </c>
      <c r="G850" s="1">
        <v>72</v>
      </c>
      <c r="H850" s="1">
        <v>68</v>
      </c>
    </row>
    <row r="851" spans="1:8" x14ac:dyDescent="0.3">
      <c r="A851" s="1" t="s">
        <v>17</v>
      </c>
      <c r="B851" s="1" t="s">
        <v>21</v>
      </c>
      <c r="C851" s="1" t="s">
        <v>19</v>
      </c>
      <c r="D851" s="1" t="s">
        <v>11</v>
      </c>
      <c r="E851" s="1" t="s">
        <v>12</v>
      </c>
      <c r="F851" s="1">
        <v>80</v>
      </c>
      <c r="G851" s="1">
        <v>75</v>
      </c>
      <c r="H851" s="1">
        <v>69</v>
      </c>
    </row>
    <row r="852" spans="1:8" x14ac:dyDescent="0.3">
      <c r="A852" s="1" t="s">
        <v>17</v>
      </c>
      <c r="B852" s="1" t="s">
        <v>13</v>
      </c>
      <c r="C852" s="1" t="s">
        <v>16</v>
      </c>
      <c r="D852" s="1" t="s">
        <v>11</v>
      </c>
      <c r="E852" s="1" t="s">
        <v>12</v>
      </c>
      <c r="F852" s="1">
        <v>71</v>
      </c>
      <c r="G852" s="1">
        <v>67</v>
      </c>
      <c r="H852" s="1">
        <v>67</v>
      </c>
    </row>
    <row r="853" spans="1:8" x14ac:dyDescent="0.3">
      <c r="A853" s="1" t="s">
        <v>8</v>
      </c>
      <c r="B853" s="1" t="s">
        <v>18</v>
      </c>
      <c r="C853" s="1" t="s">
        <v>22</v>
      </c>
      <c r="D853" s="1" t="s">
        <v>11</v>
      </c>
      <c r="E853" s="1" t="s">
        <v>12</v>
      </c>
      <c r="F853" s="1">
        <v>61</v>
      </c>
      <c r="G853" s="1">
        <v>68</v>
      </c>
      <c r="H853" s="1">
        <v>63</v>
      </c>
    </row>
    <row r="854" spans="1:8" x14ac:dyDescent="0.3">
      <c r="A854" s="1" t="s">
        <v>8</v>
      </c>
      <c r="B854" s="1" t="s">
        <v>24</v>
      </c>
      <c r="C854" s="1" t="s">
        <v>14</v>
      </c>
      <c r="D854" s="1" t="s">
        <v>11</v>
      </c>
      <c r="E854" s="1" t="s">
        <v>12</v>
      </c>
      <c r="F854" s="1">
        <v>87</v>
      </c>
      <c r="G854" s="1">
        <v>85</v>
      </c>
      <c r="H854" s="1">
        <v>93</v>
      </c>
    </row>
    <row r="855" spans="1:8" x14ac:dyDescent="0.3">
      <c r="A855" s="1" t="s">
        <v>17</v>
      </c>
      <c r="B855" s="1" t="s">
        <v>24</v>
      </c>
      <c r="C855" s="1" t="s">
        <v>23</v>
      </c>
      <c r="D855" s="1" t="s">
        <v>11</v>
      </c>
      <c r="E855" s="1" t="s">
        <v>12</v>
      </c>
      <c r="F855" s="1">
        <v>82</v>
      </c>
      <c r="G855" s="1">
        <v>67</v>
      </c>
      <c r="H855" s="1">
        <v>61</v>
      </c>
    </row>
    <row r="856" spans="1:8" x14ac:dyDescent="0.3">
      <c r="A856" s="1" t="s">
        <v>17</v>
      </c>
      <c r="B856" s="1" t="s">
        <v>13</v>
      </c>
      <c r="C856" s="1" t="s">
        <v>23</v>
      </c>
      <c r="D856" s="1" t="s">
        <v>11</v>
      </c>
      <c r="E856" s="1" t="s">
        <v>12</v>
      </c>
      <c r="F856" s="1">
        <v>62</v>
      </c>
      <c r="G856" s="1">
        <v>64</v>
      </c>
      <c r="H856" s="1">
        <v>55</v>
      </c>
    </row>
    <row r="857" spans="1:8" x14ac:dyDescent="0.3">
      <c r="A857" s="1" t="s">
        <v>8</v>
      </c>
      <c r="B857" s="1" t="s">
        <v>9</v>
      </c>
      <c r="C857" s="1" t="s">
        <v>10</v>
      </c>
      <c r="D857" s="1" t="s">
        <v>11</v>
      </c>
      <c r="E857" s="1" t="s">
        <v>12</v>
      </c>
      <c r="F857" s="1">
        <v>97</v>
      </c>
      <c r="G857" s="1">
        <v>97</v>
      </c>
      <c r="H857" s="1">
        <v>96</v>
      </c>
    </row>
    <row r="858" spans="1:8" x14ac:dyDescent="0.3">
      <c r="A858" s="1" t="s">
        <v>17</v>
      </c>
      <c r="B858" s="1" t="s">
        <v>9</v>
      </c>
      <c r="C858" s="1" t="s">
        <v>14</v>
      </c>
      <c r="D858" s="1" t="s">
        <v>20</v>
      </c>
      <c r="E858" s="1" t="s">
        <v>12</v>
      </c>
      <c r="F858" s="1">
        <v>75</v>
      </c>
      <c r="G858" s="1">
        <v>68</v>
      </c>
      <c r="H858" s="1">
        <v>65</v>
      </c>
    </row>
    <row r="859" spans="1:8" x14ac:dyDescent="0.3">
      <c r="A859" s="1" t="s">
        <v>8</v>
      </c>
      <c r="B859" s="1" t="s">
        <v>13</v>
      </c>
      <c r="C859" s="1" t="s">
        <v>10</v>
      </c>
      <c r="D859" s="1" t="s">
        <v>11</v>
      </c>
      <c r="E859" s="1" t="s">
        <v>12</v>
      </c>
      <c r="F859" s="1">
        <v>65</v>
      </c>
      <c r="G859" s="1">
        <v>79</v>
      </c>
      <c r="H859" s="1">
        <v>81</v>
      </c>
    </row>
    <row r="860" spans="1:8" x14ac:dyDescent="0.3">
      <c r="A860" s="1" t="s">
        <v>17</v>
      </c>
      <c r="B860" s="1" t="s">
        <v>9</v>
      </c>
      <c r="C860" s="1" t="s">
        <v>22</v>
      </c>
      <c r="D860" s="1" t="s">
        <v>11</v>
      </c>
      <c r="E860" s="1" t="s">
        <v>15</v>
      </c>
      <c r="F860" s="1">
        <v>52</v>
      </c>
      <c r="G860" s="1">
        <v>49</v>
      </c>
      <c r="H860" s="1">
        <v>46</v>
      </c>
    </row>
    <row r="861" spans="1:8" x14ac:dyDescent="0.3">
      <c r="A861" s="1" t="s">
        <v>17</v>
      </c>
      <c r="B861" s="1" t="s">
        <v>13</v>
      </c>
      <c r="C861" s="1" t="s">
        <v>19</v>
      </c>
      <c r="D861" s="1" t="s">
        <v>20</v>
      </c>
      <c r="E861" s="1" t="s">
        <v>12</v>
      </c>
      <c r="F861" s="1">
        <v>87</v>
      </c>
      <c r="G861" s="1">
        <v>73</v>
      </c>
      <c r="H861" s="1">
        <v>72</v>
      </c>
    </row>
    <row r="862" spans="1:8" x14ac:dyDescent="0.3">
      <c r="A862" s="1" t="s">
        <v>8</v>
      </c>
      <c r="B862" s="1" t="s">
        <v>13</v>
      </c>
      <c r="C862" s="1" t="s">
        <v>19</v>
      </c>
      <c r="D862" s="1" t="s">
        <v>11</v>
      </c>
      <c r="E862" s="1" t="s">
        <v>12</v>
      </c>
      <c r="F862" s="1">
        <v>53</v>
      </c>
      <c r="G862" s="1">
        <v>62</v>
      </c>
      <c r="H862" s="1">
        <v>53</v>
      </c>
    </row>
    <row r="863" spans="1:8" x14ac:dyDescent="0.3">
      <c r="A863" s="1" t="s">
        <v>8</v>
      </c>
      <c r="B863" s="1" t="s">
        <v>24</v>
      </c>
      <c r="C863" s="1" t="s">
        <v>16</v>
      </c>
      <c r="D863" s="1" t="s">
        <v>20</v>
      </c>
      <c r="E863" s="1" t="s">
        <v>12</v>
      </c>
      <c r="F863" s="1">
        <v>81</v>
      </c>
      <c r="G863" s="1">
        <v>86</v>
      </c>
      <c r="H863" s="1">
        <v>87</v>
      </c>
    </row>
    <row r="864" spans="1:8" x14ac:dyDescent="0.3">
      <c r="A864" s="1" t="s">
        <v>17</v>
      </c>
      <c r="B864" s="1" t="s">
        <v>21</v>
      </c>
      <c r="C864" s="1" t="s">
        <v>10</v>
      </c>
      <c r="D864" s="1" t="s">
        <v>20</v>
      </c>
      <c r="E864" s="1" t="s">
        <v>15</v>
      </c>
      <c r="F864" s="1">
        <v>39</v>
      </c>
      <c r="G864" s="1">
        <v>42</v>
      </c>
      <c r="H864" s="1">
        <v>38</v>
      </c>
    </row>
    <row r="865" spans="1:8" x14ac:dyDescent="0.3">
      <c r="A865" s="1" t="s">
        <v>8</v>
      </c>
      <c r="B865" s="1" t="s">
        <v>13</v>
      </c>
      <c r="C865" s="1" t="s">
        <v>14</v>
      </c>
      <c r="D865" s="1" t="s">
        <v>11</v>
      </c>
      <c r="E865" s="1" t="s">
        <v>15</v>
      </c>
      <c r="F865" s="1">
        <v>71</v>
      </c>
      <c r="G865" s="1">
        <v>71</v>
      </c>
      <c r="H865" s="1">
        <v>80</v>
      </c>
    </row>
    <row r="866" spans="1:8" x14ac:dyDescent="0.3">
      <c r="A866" s="1" t="s">
        <v>17</v>
      </c>
      <c r="B866" s="1" t="s">
        <v>13</v>
      </c>
      <c r="C866" s="1" t="s">
        <v>19</v>
      </c>
      <c r="D866" s="1" t="s">
        <v>11</v>
      </c>
      <c r="E866" s="1" t="s">
        <v>12</v>
      </c>
      <c r="F866" s="1">
        <v>97</v>
      </c>
      <c r="G866" s="1">
        <v>93</v>
      </c>
      <c r="H866" s="1">
        <v>91</v>
      </c>
    </row>
    <row r="867" spans="1:8" x14ac:dyDescent="0.3">
      <c r="A867" s="1" t="s">
        <v>17</v>
      </c>
      <c r="B867" s="1" t="s">
        <v>21</v>
      </c>
      <c r="C867" s="1" t="s">
        <v>14</v>
      </c>
      <c r="D867" s="1" t="s">
        <v>11</v>
      </c>
      <c r="E867" s="1" t="s">
        <v>15</v>
      </c>
      <c r="F867" s="1">
        <v>82</v>
      </c>
      <c r="G867" s="1">
        <v>82</v>
      </c>
      <c r="H867" s="1">
        <v>88</v>
      </c>
    </row>
    <row r="868" spans="1:8" x14ac:dyDescent="0.3">
      <c r="A868" s="1" t="s">
        <v>17</v>
      </c>
      <c r="B868" s="1" t="s">
        <v>13</v>
      </c>
      <c r="C868" s="1" t="s">
        <v>22</v>
      </c>
      <c r="D868" s="1" t="s">
        <v>20</v>
      </c>
      <c r="E868" s="1" t="s">
        <v>12</v>
      </c>
      <c r="F868" s="1">
        <v>59</v>
      </c>
      <c r="G868" s="1">
        <v>53</v>
      </c>
      <c r="H868" s="1">
        <v>52</v>
      </c>
    </row>
    <row r="869" spans="1:8" x14ac:dyDescent="0.3">
      <c r="A869" s="1" t="s">
        <v>17</v>
      </c>
      <c r="B869" s="1" t="s">
        <v>9</v>
      </c>
      <c r="C869" s="1" t="s">
        <v>19</v>
      </c>
      <c r="D869" s="1" t="s">
        <v>11</v>
      </c>
      <c r="E869" s="1" t="s">
        <v>12</v>
      </c>
      <c r="F869" s="1">
        <v>61</v>
      </c>
      <c r="G869" s="1">
        <v>42</v>
      </c>
      <c r="H869" s="1">
        <v>41</v>
      </c>
    </row>
    <row r="870" spans="1:8" x14ac:dyDescent="0.3">
      <c r="A870" s="1" t="s">
        <v>17</v>
      </c>
      <c r="B870" s="1" t="s">
        <v>24</v>
      </c>
      <c r="C870" s="1" t="s">
        <v>19</v>
      </c>
      <c r="D870" s="1" t="s">
        <v>20</v>
      </c>
      <c r="E870" s="1" t="s">
        <v>15</v>
      </c>
      <c r="F870" s="1">
        <v>78</v>
      </c>
      <c r="G870" s="1">
        <v>74</v>
      </c>
      <c r="H870" s="1">
        <v>72</v>
      </c>
    </row>
    <row r="871" spans="1:8" x14ac:dyDescent="0.3">
      <c r="A871" s="1" t="s">
        <v>17</v>
      </c>
      <c r="B871" s="1" t="s">
        <v>13</v>
      </c>
      <c r="C871" s="1" t="s">
        <v>19</v>
      </c>
      <c r="D871" s="1" t="s">
        <v>20</v>
      </c>
      <c r="E871" s="1" t="s">
        <v>12</v>
      </c>
      <c r="F871" s="1">
        <v>49</v>
      </c>
      <c r="G871" s="1">
        <v>51</v>
      </c>
      <c r="H871" s="1">
        <v>51</v>
      </c>
    </row>
    <row r="872" spans="1:8" x14ac:dyDescent="0.3">
      <c r="A872" s="1" t="s">
        <v>17</v>
      </c>
      <c r="B872" s="1" t="s">
        <v>9</v>
      </c>
      <c r="C872" s="1" t="s">
        <v>22</v>
      </c>
      <c r="D872" s="1" t="s">
        <v>11</v>
      </c>
      <c r="E872" s="1" t="s">
        <v>12</v>
      </c>
      <c r="F872" s="1">
        <v>59</v>
      </c>
      <c r="G872" s="1">
        <v>58</v>
      </c>
      <c r="H872" s="1">
        <v>47</v>
      </c>
    </row>
    <row r="873" spans="1:8" x14ac:dyDescent="0.3">
      <c r="A873" s="1" t="s">
        <v>8</v>
      </c>
      <c r="B873" s="1" t="s">
        <v>13</v>
      </c>
      <c r="C873" s="1" t="s">
        <v>14</v>
      </c>
      <c r="D873" s="1" t="s">
        <v>11</v>
      </c>
      <c r="E873" s="1" t="s">
        <v>15</v>
      </c>
      <c r="F873" s="1">
        <v>70</v>
      </c>
      <c r="G873" s="1">
        <v>72</v>
      </c>
      <c r="H873" s="1">
        <v>76</v>
      </c>
    </row>
    <row r="874" spans="1:8" x14ac:dyDescent="0.3">
      <c r="A874" s="1" t="s">
        <v>17</v>
      </c>
      <c r="B874" s="1" t="s">
        <v>9</v>
      </c>
      <c r="C874" s="1" t="s">
        <v>19</v>
      </c>
      <c r="D874" s="1" t="s">
        <v>11</v>
      </c>
      <c r="E874" s="1" t="s">
        <v>15</v>
      </c>
      <c r="F874" s="1">
        <v>82</v>
      </c>
      <c r="G874" s="1">
        <v>84</v>
      </c>
      <c r="H874" s="1">
        <v>78</v>
      </c>
    </row>
    <row r="875" spans="1:8" x14ac:dyDescent="0.3">
      <c r="A875" s="1" t="s">
        <v>17</v>
      </c>
      <c r="B875" s="1" t="s">
        <v>24</v>
      </c>
      <c r="C875" s="1" t="s">
        <v>19</v>
      </c>
      <c r="D875" s="1" t="s">
        <v>20</v>
      </c>
      <c r="E875" s="1" t="s">
        <v>12</v>
      </c>
      <c r="F875" s="1">
        <v>90</v>
      </c>
      <c r="G875" s="1">
        <v>90</v>
      </c>
      <c r="H875" s="1">
        <v>82</v>
      </c>
    </row>
    <row r="876" spans="1:8" x14ac:dyDescent="0.3">
      <c r="A876" s="1" t="s">
        <v>8</v>
      </c>
      <c r="B876" s="1" t="s">
        <v>13</v>
      </c>
      <c r="C876" s="1" t="s">
        <v>10</v>
      </c>
      <c r="D876" s="1" t="s">
        <v>20</v>
      </c>
      <c r="E876" s="1" t="s">
        <v>12</v>
      </c>
      <c r="F876" s="1">
        <v>43</v>
      </c>
      <c r="G876" s="1">
        <v>62</v>
      </c>
      <c r="H876" s="1">
        <v>61</v>
      </c>
    </row>
    <row r="877" spans="1:8" x14ac:dyDescent="0.3">
      <c r="A877" s="1" t="s">
        <v>17</v>
      </c>
      <c r="B877" s="1" t="s">
        <v>13</v>
      </c>
      <c r="C877" s="1" t="s">
        <v>14</v>
      </c>
      <c r="D877" s="1" t="s">
        <v>20</v>
      </c>
      <c r="E877" s="1" t="s">
        <v>12</v>
      </c>
      <c r="F877" s="1">
        <v>80</v>
      </c>
      <c r="G877" s="1">
        <v>64</v>
      </c>
      <c r="H877" s="1">
        <v>66</v>
      </c>
    </row>
    <row r="878" spans="1:8" x14ac:dyDescent="0.3">
      <c r="A878" s="1" t="s">
        <v>17</v>
      </c>
      <c r="B878" s="1" t="s">
        <v>21</v>
      </c>
      <c r="C878" s="1" t="s">
        <v>14</v>
      </c>
      <c r="D878" s="1" t="s">
        <v>11</v>
      </c>
      <c r="E878" s="1" t="s">
        <v>12</v>
      </c>
      <c r="F878" s="1">
        <v>81</v>
      </c>
      <c r="G878" s="1">
        <v>82</v>
      </c>
      <c r="H878" s="1">
        <v>84</v>
      </c>
    </row>
    <row r="879" spans="1:8" x14ac:dyDescent="0.3">
      <c r="A879" s="1" t="s">
        <v>17</v>
      </c>
      <c r="B879" s="1" t="s">
        <v>13</v>
      </c>
      <c r="C879" s="1" t="s">
        <v>23</v>
      </c>
      <c r="D879" s="1" t="s">
        <v>11</v>
      </c>
      <c r="E879" s="1" t="s">
        <v>12</v>
      </c>
      <c r="F879" s="1">
        <v>57</v>
      </c>
      <c r="G879" s="1">
        <v>61</v>
      </c>
      <c r="H879" s="1">
        <v>54</v>
      </c>
    </row>
    <row r="880" spans="1:8" x14ac:dyDescent="0.3">
      <c r="A880" s="1" t="s">
        <v>8</v>
      </c>
      <c r="B880" s="1" t="s">
        <v>21</v>
      </c>
      <c r="C880" s="1" t="s">
        <v>23</v>
      </c>
      <c r="D880" s="1" t="s">
        <v>11</v>
      </c>
      <c r="E880" s="1" t="s">
        <v>12</v>
      </c>
      <c r="F880" s="1">
        <v>59</v>
      </c>
      <c r="G880" s="1">
        <v>72</v>
      </c>
      <c r="H880" s="1">
        <v>80</v>
      </c>
    </row>
    <row r="881" spans="1:8" x14ac:dyDescent="0.3">
      <c r="A881" s="1" t="s">
        <v>8</v>
      </c>
      <c r="B881" s="1" t="s">
        <v>21</v>
      </c>
      <c r="C881" s="1" t="s">
        <v>19</v>
      </c>
      <c r="D881" s="1" t="s">
        <v>11</v>
      </c>
      <c r="E881" s="1" t="s">
        <v>12</v>
      </c>
      <c r="F881" s="1">
        <v>64</v>
      </c>
      <c r="G881" s="1">
        <v>76</v>
      </c>
      <c r="H881" s="1">
        <v>74</v>
      </c>
    </row>
    <row r="882" spans="1:8" x14ac:dyDescent="0.3">
      <c r="A882" s="1" t="s">
        <v>17</v>
      </c>
      <c r="B882" s="1" t="s">
        <v>13</v>
      </c>
      <c r="C882" s="1" t="s">
        <v>10</v>
      </c>
      <c r="D882" s="1" t="s">
        <v>11</v>
      </c>
      <c r="E882" s="1" t="s">
        <v>15</v>
      </c>
      <c r="F882" s="1">
        <v>63</v>
      </c>
      <c r="G882" s="1">
        <v>64</v>
      </c>
      <c r="H882" s="1">
        <v>66</v>
      </c>
    </row>
    <row r="883" spans="1:8" x14ac:dyDescent="0.3">
      <c r="A883" s="1" t="s">
        <v>8</v>
      </c>
      <c r="B883" s="1" t="s">
        <v>24</v>
      </c>
      <c r="C883" s="1" t="s">
        <v>10</v>
      </c>
      <c r="D883" s="1" t="s">
        <v>11</v>
      </c>
      <c r="E883" s="1" t="s">
        <v>15</v>
      </c>
      <c r="F883" s="1">
        <v>71</v>
      </c>
      <c r="G883" s="1">
        <v>70</v>
      </c>
      <c r="H883" s="1">
        <v>70</v>
      </c>
    </row>
    <row r="884" spans="1:8" x14ac:dyDescent="0.3">
      <c r="A884" s="1" t="s">
        <v>8</v>
      </c>
      <c r="B884" s="1" t="s">
        <v>9</v>
      </c>
      <c r="C884" s="1" t="s">
        <v>22</v>
      </c>
      <c r="D884" s="1" t="s">
        <v>20</v>
      </c>
      <c r="E884" s="1" t="s">
        <v>12</v>
      </c>
      <c r="F884" s="1">
        <v>64</v>
      </c>
      <c r="G884" s="1">
        <v>73</v>
      </c>
      <c r="H884" s="1">
        <v>71</v>
      </c>
    </row>
    <row r="885" spans="1:8" x14ac:dyDescent="0.3">
      <c r="A885" s="1" t="s">
        <v>17</v>
      </c>
      <c r="B885" s="1" t="s">
        <v>21</v>
      </c>
      <c r="C885" s="1" t="s">
        <v>10</v>
      </c>
      <c r="D885" s="1" t="s">
        <v>20</v>
      </c>
      <c r="E885" s="1" t="s">
        <v>12</v>
      </c>
      <c r="F885" s="1">
        <v>55</v>
      </c>
      <c r="G885" s="1">
        <v>46</v>
      </c>
      <c r="H885" s="1">
        <v>44</v>
      </c>
    </row>
    <row r="886" spans="1:8" x14ac:dyDescent="0.3">
      <c r="A886" s="1" t="s">
        <v>8</v>
      </c>
      <c r="B886" s="1" t="s">
        <v>24</v>
      </c>
      <c r="C886" s="1" t="s">
        <v>19</v>
      </c>
      <c r="D886" s="1" t="s">
        <v>11</v>
      </c>
      <c r="E886" s="1" t="s">
        <v>12</v>
      </c>
      <c r="F886" s="1">
        <v>51</v>
      </c>
      <c r="G886" s="1">
        <v>51</v>
      </c>
      <c r="H886" s="1">
        <v>54</v>
      </c>
    </row>
    <row r="887" spans="1:8" x14ac:dyDescent="0.3">
      <c r="A887" s="1" t="s">
        <v>8</v>
      </c>
      <c r="B887" s="1" t="s">
        <v>13</v>
      </c>
      <c r="C887" s="1" t="s">
        <v>19</v>
      </c>
      <c r="D887" s="1" t="s">
        <v>11</v>
      </c>
      <c r="E887" s="1" t="s">
        <v>15</v>
      </c>
      <c r="F887" s="1">
        <v>62</v>
      </c>
      <c r="G887" s="1">
        <v>76</v>
      </c>
      <c r="H887" s="1">
        <v>80</v>
      </c>
    </row>
    <row r="888" spans="1:8" x14ac:dyDescent="0.3">
      <c r="A888" s="1" t="s">
        <v>8</v>
      </c>
      <c r="B888" s="1" t="s">
        <v>24</v>
      </c>
      <c r="C888" s="1" t="s">
        <v>19</v>
      </c>
      <c r="D888" s="1" t="s">
        <v>11</v>
      </c>
      <c r="E888" s="1" t="s">
        <v>15</v>
      </c>
      <c r="F888" s="1">
        <v>93</v>
      </c>
      <c r="G888" s="1">
        <v>100</v>
      </c>
      <c r="H888" s="1">
        <v>95</v>
      </c>
    </row>
    <row r="889" spans="1:8" x14ac:dyDescent="0.3">
      <c r="A889" s="1" t="s">
        <v>17</v>
      </c>
      <c r="B889" s="1" t="s">
        <v>13</v>
      </c>
      <c r="C889" s="1" t="s">
        <v>22</v>
      </c>
      <c r="D889" s="1" t="s">
        <v>20</v>
      </c>
      <c r="E889" s="1" t="s">
        <v>12</v>
      </c>
      <c r="F889" s="1">
        <v>54</v>
      </c>
      <c r="G889" s="1">
        <v>72</v>
      </c>
      <c r="H889" s="1">
        <v>59</v>
      </c>
    </row>
    <row r="890" spans="1:8" x14ac:dyDescent="0.3">
      <c r="A890" s="1" t="s">
        <v>8</v>
      </c>
      <c r="B890" s="1" t="s">
        <v>21</v>
      </c>
      <c r="C890" s="1" t="s">
        <v>14</v>
      </c>
      <c r="D890" s="1" t="s">
        <v>20</v>
      </c>
      <c r="E890" s="1" t="s">
        <v>12</v>
      </c>
      <c r="F890" s="1">
        <v>69</v>
      </c>
      <c r="G890" s="1">
        <v>65</v>
      </c>
      <c r="H890" s="1">
        <v>74</v>
      </c>
    </row>
    <row r="891" spans="1:8" x14ac:dyDescent="0.3">
      <c r="A891" s="1" t="s">
        <v>17</v>
      </c>
      <c r="B891" s="1" t="s">
        <v>21</v>
      </c>
      <c r="C891" s="1" t="s">
        <v>22</v>
      </c>
      <c r="D891" s="1" t="s">
        <v>20</v>
      </c>
      <c r="E891" s="1" t="s">
        <v>12</v>
      </c>
      <c r="F891" s="1">
        <v>44</v>
      </c>
      <c r="G891" s="1">
        <v>51</v>
      </c>
      <c r="H891" s="1">
        <v>48</v>
      </c>
    </row>
    <row r="892" spans="1:8" x14ac:dyDescent="0.3">
      <c r="A892" s="1" t="s">
        <v>8</v>
      </c>
      <c r="B892" s="1" t="s">
        <v>24</v>
      </c>
      <c r="C892" s="1" t="s">
        <v>14</v>
      </c>
      <c r="D892" s="1" t="s">
        <v>11</v>
      </c>
      <c r="E892" s="1" t="s">
        <v>15</v>
      </c>
      <c r="F892" s="1">
        <v>86</v>
      </c>
      <c r="G892" s="1">
        <v>85</v>
      </c>
      <c r="H892" s="1">
        <v>91</v>
      </c>
    </row>
    <row r="893" spans="1:8" x14ac:dyDescent="0.3">
      <c r="A893" s="1" t="s">
        <v>8</v>
      </c>
      <c r="B893" s="1" t="s">
        <v>24</v>
      </c>
      <c r="C893" s="1" t="s">
        <v>19</v>
      </c>
      <c r="D893" s="1" t="s">
        <v>11</v>
      </c>
      <c r="E893" s="1" t="s">
        <v>12</v>
      </c>
      <c r="F893" s="1">
        <v>85</v>
      </c>
      <c r="G893" s="1">
        <v>92</v>
      </c>
      <c r="H893" s="1">
        <v>85</v>
      </c>
    </row>
    <row r="894" spans="1:8" x14ac:dyDescent="0.3">
      <c r="A894" s="1" t="s">
        <v>8</v>
      </c>
      <c r="B894" s="1" t="s">
        <v>18</v>
      </c>
      <c r="C894" s="1" t="s">
        <v>16</v>
      </c>
      <c r="D894" s="1" t="s">
        <v>20</v>
      </c>
      <c r="E894" s="1" t="s">
        <v>12</v>
      </c>
      <c r="F894" s="1">
        <v>50</v>
      </c>
      <c r="G894" s="1">
        <v>67</v>
      </c>
      <c r="H894" s="1">
        <v>73</v>
      </c>
    </row>
    <row r="895" spans="1:8" x14ac:dyDescent="0.3">
      <c r="A895" s="1" t="s">
        <v>17</v>
      </c>
      <c r="B895" s="1" t="s">
        <v>21</v>
      </c>
      <c r="C895" s="1" t="s">
        <v>23</v>
      </c>
      <c r="D895" s="1" t="s">
        <v>11</v>
      </c>
      <c r="E895" s="1" t="s">
        <v>15</v>
      </c>
      <c r="F895" s="1">
        <v>88</v>
      </c>
      <c r="G895" s="1">
        <v>74</v>
      </c>
      <c r="H895" s="1">
        <v>75</v>
      </c>
    </row>
    <row r="896" spans="1:8" x14ac:dyDescent="0.3">
      <c r="A896" s="1" t="s">
        <v>8</v>
      </c>
      <c r="B896" s="1" t="s">
        <v>24</v>
      </c>
      <c r="C896" s="1" t="s">
        <v>19</v>
      </c>
      <c r="D896" s="1" t="s">
        <v>11</v>
      </c>
      <c r="E896" s="1" t="s">
        <v>12</v>
      </c>
      <c r="F896" s="1">
        <v>59</v>
      </c>
      <c r="G896" s="1">
        <v>62</v>
      </c>
      <c r="H896" s="1">
        <v>69</v>
      </c>
    </row>
    <row r="897" spans="1:8" x14ac:dyDescent="0.3">
      <c r="A897" s="1" t="s">
        <v>8</v>
      </c>
      <c r="B897" s="1" t="s">
        <v>24</v>
      </c>
      <c r="C897" s="1" t="s">
        <v>23</v>
      </c>
      <c r="D897" s="1" t="s">
        <v>20</v>
      </c>
      <c r="E897" s="1" t="s">
        <v>12</v>
      </c>
      <c r="F897" s="1">
        <v>32</v>
      </c>
      <c r="G897" s="1">
        <v>34</v>
      </c>
      <c r="H897" s="1">
        <v>38</v>
      </c>
    </row>
    <row r="898" spans="1:8" x14ac:dyDescent="0.3">
      <c r="A898" s="1" t="s">
        <v>17</v>
      </c>
      <c r="B898" s="1" t="s">
        <v>9</v>
      </c>
      <c r="C898" s="1" t="s">
        <v>22</v>
      </c>
      <c r="D898" s="1" t="s">
        <v>20</v>
      </c>
      <c r="E898" s="1" t="s">
        <v>12</v>
      </c>
      <c r="F898" s="1">
        <v>36</v>
      </c>
      <c r="G898" s="1">
        <v>29</v>
      </c>
      <c r="H898" s="1">
        <v>27</v>
      </c>
    </row>
    <row r="899" spans="1:8" x14ac:dyDescent="0.3">
      <c r="A899" s="1" t="s">
        <v>8</v>
      </c>
      <c r="B899" s="1" t="s">
        <v>9</v>
      </c>
      <c r="C899" s="1" t="s">
        <v>23</v>
      </c>
      <c r="D899" s="1" t="s">
        <v>20</v>
      </c>
      <c r="E899" s="1" t="s">
        <v>15</v>
      </c>
      <c r="F899" s="1">
        <v>63</v>
      </c>
      <c r="G899" s="1">
        <v>78</v>
      </c>
      <c r="H899" s="1">
        <v>79</v>
      </c>
    </row>
    <row r="900" spans="1:8" x14ac:dyDescent="0.3">
      <c r="A900" s="1" t="s">
        <v>17</v>
      </c>
      <c r="B900" s="1" t="s">
        <v>21</v>
      </c>
      <c r="C900" s="1" t="s">
        <v>19</v>
      </c>
      <c r="D900" s="1" t="s">
        <v>11</v>
      </c>
      <c r="E900" s="1" t="s">
        <v>15</v>
      </c>
      <c r="F900" s="1">
        <v>67</v>
      </c>
      <c r="G900" s="1">
        <v>54</v>
      </c>
      <c r="H900" s="1">
        <v>63</v>
      </c>
    </row>
    <row r="901" spans="1:8" x14ac:dyDescent="0.3">
      <c r="A901" s="1" t="s">
        <v>8</v>
      </c>
      <c r="B901" s="1" t="s">
        <v>21</v>
      </c>
      <c r="C901" s="1" t="s">
        <v>23</v>
      </c>
      <c r="D901" s="1" t="s">
        <v>11</v>
      </c>
      <c r="E901" s="1" t="s">
        <v>15</v>
      </c>
      <c r="F901" s="1">
        <v>65</v>
      </c>
      <c r="G901" s="1">
        <v>78</v>
      </c>
      <c r="H901" s="1">
        <v>82</v>
      </c>
    </row>
    <row r="902" spans="1:8" x14ac:dyDescent="0.3">
      <c r="A902" s="1" t="s">
        <v>17</v>
      </c>
      <c r="B902" s="1" t="s">
        <v>21</v>
      </c>
      <c r="C902" s="1" t="s">
        <v>16</v>
      </c>
      <c r="D902" s="1" t="s">
        <v>11</v>
      </c>
      <c r="E902" s="1" t="s">
        <v>12</v>
      </c>
      <c r="F902" s="1">
        <v>85</v>
      </c>
      <c r="G902" s="1">
        <v>84</v>
      </c>
      <c r="H902" s="1">
        <v>89</v>
      </c>
    </row>
    <row r="903" spans="1:8" x14ac:dyDescent="0.3">
      <c r="A903" s="1" t="s">
        <v>8</v>
      </c>
      <c r="B903" s="1" t="s">
        <v>13</v>
      </c>
      <c r="C903" s="1" t="s">
        <v>16</v>
      </c>
      <c r="D903" s="1" t="s">
        <v>11</v>
      </c>
      <c r="E903" s="1" t="s">
        <v>12</v>
      </c>
      <c r="F903" s="1">
        <v>73</v>
      </c>
      <c r="G903" s="1">
        <v>78</v>
      </c>
      <c r="H903" s="1">
        <v>74</v>
      </c>
    </row>
    <row r="904" spans="1:8" x14ac:dyDescent="0.3">
      <c r="A904" s="1" t="s">
        <v>8</v>
      </c>
      <c r="B904" s="1" t="s">
        <v>18</v>
      </c>
      <c r="C904" s="1" t="s">
        <v>22</v>
      </c>
      <c r="D904" s="1" t="s">
        <v>20</v>
      </c>
      <c r="E904" s="1" t="s">
        <v>15</v>
      </c>
      <c r="F904" s="1">
        <v>34</v>
      </c>
      <c r="G904" s="1">
        <v>48</v>
      </c>
      <c r="H904" s="1">
        <v>41</v>
      </c>
    </row>
    <row r="905" spans="1:8" x14ac:dyDescent="0.3">
      <c r="A905" s="1" t="s">
        <v>8</v>
      </c>
      <c r="B905" s="1" t="s">
        <v>21</v>
      </c>
      <c r="C905" s="1" t="s">
        <v>10</v>
      </c>
      <c r="D905" s="1" t="s">
        <v>20</v>
      </c>
      <c r="E905" s="1" t="s">
        <v>15</v>
      </c>
      <c r="F905" s="1">
        <v>93</v>
      </c>
      <c r="G905" s="1">
        <v>100</v>
      </c>
      <c r="H905" s="1">
        <v>100</v>
      </c>
    </row>
    <row r="906" spans="1:8" x14ac:dyDescent="0.3">
      <c r="A906" s="1" t="s">
        <v>8</v>
      </c>
      <c r="B906" s="1" t="s">
        <v>21</v>
      </c>
      <c r="C906" s="1" t="s">
        <v>23</v>
      </c>
      <c r="D906" s="1" t="s">
        <v>20</v>
      </c>
      <c r="E906" s="1" t="s">
        <v>12</v>
      </c>
      <c r="F906" s="1">
        <v>67</v>
      </c>
      <c r="G906" s="1">
        <v>84</v>
      </c>
      <c r="H906" s="1">
        <v>84</v>
      </c>
    </row>
    <row r="907" spans="1:8" x14ac:dyDescent="0.3">
      <c r="A907" s="1" t="s">
        <v>17</v>
      </c>
      <c r="B907" s="1" t="s">
        <v>21</v>
      </c>
      <c r="C907" s="1" t="s">
        <v>14</v>
      </c>
      <c r="D907" s="1" t="s">
        <v>11</v>
      </c>
      <c r="E907" s="1" t="s">
        <v>12</v>
      </c>
      <c r="F907" s="1">
        <v>88</v>
      </c>
      <c r="G907" s="1">
        <v>77</v>
      </c>
      <c r="H907" s="1">
        <v>77</v>
      </c>
    </row>
    <row r="908" spans="1:8" x14ac:dyDescent="0.3">
      <c r="A908" s="1" t="s">
        <v>17</v>
      </c>
      <c r="B908" s="1" t="s">
        <v>9</v>
      </c>
      <c r="C908" s="1" t="s">
        <v>22</v>
      </c>
      <c r="D908" s="1" t="s">
        <v>11</v>
      </c>
      <c r="E908" s="1" t="s">
        <v>12</v>
      </c>
      <c r="F908" s="1">
        <v>57</v>
      </c>
      <c r="G908" s="1">
        <v>48</v>
      </c>
      <c r="H908" s="1">
        <v>51</v>
      </c>
    </row>
    <row r="909" spans="1:8" x14ac:dyDescent="0.3">
      <c r="A909" s="1" t="s">
        <v>8</v>
      </c>
      <c r="B909" s="1" t="s">
        <v>21</v>
      </c>
      <c r="C909" s="1" t="s">
        <v>14</v>
      </c>
      <c r="D909" s="1" t="s">
        <v>11</v>
      </c>
      <c r="E909" s="1" t="s">
        <v>15</v>
      </c>
      <c r="F909" s="1">
        <v>79</v>
      </c>
      <c r="G909" s="1">
        <v>84</v>
      </c>
      <c r="H909" s="1">
        <v>91</v>
      </c>
    </row>
    <row r="910" spans="1:8" x14ac:dyDescent="0.3">
      <c r="A910" s="1" t="s">
        <v>8</v>
      </c>
      <c r="B910" s="1" t="s">
        <v>13</v>
      </c>
      <c r="C910" s="1" t="s">
        <v>10</v>
      </c>
      <c r="D910" s="1" t="s">
        <v>20</v>
      </c>
      <c r="E910" s="1" t="s">
        <v>12</v>
      </c>
      <c r="F910" s="1">
        <v>67</v>
      </c>
      <c r="G910" s="1">
        <v>75</v>
      </c>
      <c r="H910" s="1">
        <v>72</v>
      </c>
    </row>
    <row r="911" spans="1:8" x14ac:dyDescent="0.3">
      <c r="A911" s="1" t="s">
        <v>17</v>
      </c>
      <c r="B911" s="1" t="s">
        <v>24</v>
      </c>
      <c r="C911" s="1" t="s">
        <v>10</v>
      </c>
      <c r="D911" s="1" t="s">
        <v>11</v>
      </c>
      <c r="E911" s="1" t="s">
        <v>15</v>
      </c>
      <c r="F911" s="1">
        <v>70</v>
      </c>
      <c r="G911" s="1">
        <v>64</v>
      </c>
      <c r="H911" s="1">
        <v>70</v>
      </c>
    </row>
    <row r="912" spans="1:8" x14ac:dyDescent="0.3">
      <c r="A912" s="1" t="s">
        <v>17</v>
      </c>
      <c r="B912" s="1" t="s">
        <v>21</v>
      </c>
      <c r="C912" s="1" t="s">
        <v>10</v>
      </c>
      <c r="D912" s="1" t="s">
        <v>20</v>
      </c>
      <c r="E912" s="1" t="s">
        <v>12</v>
      </c>
      <c r="F912" s="1">
        <v>50</v>
      </c>
      <c r="G912" s="1">
        <v>42</v>
      </c>
      <c r="H912" s="1">
        <v>48</v>
      </c>
    </row>
    <row r="913" spans="1:8" x14ac:dyDescent="0.3">
      <c r="A913" s="1" t="s">
        <v>8</v>
      </c>
      <c r="B913" s="1" t="s">
        <v>18</v>
      </c>
      <c r="C913" s="1" t="s">
        <v>14</v>
      </c>
      <c r="D913" s="1" t="s">
        <v>11</v>
      </c>
      <c r="E913" s="1" t="s">
        <v>12</v>
      </c>
      <c r="F913" s="1">
        <v>69</v>
      </c>
      <c r="G913" s="1">
        <v>84</v>
      </c>
      <c r="H913" s="1">
        <v>82</v>
      </c>
    </row>
    <row r="914" spans="1:8" x14ac:dyDescent="0.3">
      <c r="A914" s="1" t="s">
        <v>8</v>
      </c>
      <c r="B914" s="1" t="s">
        <v>13</v>
      </c>
      <c r="C914" s="1" t="s">
        <v>10</v>
      </c>
      <c r="D914" s="1" t="s">
        <v>11</v>
      </c>
      <c r="E914" s="1" t="s">
        <v>15</v>
      </c>
      <c r="F914" s="1">
        <v>52</v>
      </c>
      <c r="G914" s="1">
        <v>61</v>
      </c>
      <c r="H914" s="1">
        <v>66</v>
      </c>
    </row>
    <row r="915" spans="1:8" x14ac:dyDescent="0.3">
      <c r="A915" s="1" t="s">
        <v>8</v>
      </c>
      <c r="B915" s="1" t="s">
        <v>13</v>
      </c>
      <c r="C915" s="1" t="s">
        <v>10</v>
      </c>
      <c r="D915" s="1" t="s">
        <v>20</v>
      </c>
      <c r="E915" s="1" t="s">
        <v>15</v>
      </c>
      <c r="F915" s="1">
        <v>47</v>
      </c>
      <c r="G915" s="1">
        <v>62</v>
      </c>
      <c r="H915" s="1">
        <v>66</v>
      </c>
    </row>
    <row r="916" spans="1:8" x14ac:dyDescent="0.3">
      <c r="A916" s="1" t="s">
        <v>8</v>
      </c>
      <c r="B916" s="1" t="s">
        <v>9</v>
      </c>
      <c r="C916" s="1" t="s">
        <v>19</v>
      </c>
      <c r="D916" s="1" t="s">
        <v>20</v>
      </c>
      <c r="E916" s="1" t="s">
        <v>12</v>
      </c>
      <c r="F916" s="1">
        <v>46</v>
      </c>
      <c r="G916" s="1">
        <v>61</v>
      </c>
      <c r="H916" s="1">
        <v>55</v>
      </c>
    </row>
    <row r="917" spans="1:8" x14ac:dyDescent="0.3">
      <c r="A917" s="1" t="s">
        <v>8</v>
      </c>
      <c r="B917" s="1" t="s">
        <v>24</v>
      </c>
      <c r="C917" s="1" t="s">
        <v>14</v>
      </c>
      <c r="D917" s="1" t="s">
        <v>11</v>
      </c>
      <c r="E917" s="1" t="s">
        <v>12</v>
      </c>
      <c r="F917" s="1">
        <v>68</v>
      </c>
      <c r="G917" s="1">
        <v>70</v>
      </c>
      <c r="H917" s="1">
        <v>66</v>
      </c>
    </row>
    <row r="918" spans="1:8" x14ac:dyDescent="0.3">
      <c r="A918" s="1" t="s">
        <v>17</v>
      </c>
      <c r="B918" s="1" t="s">
        <v>24</v>
      </c>
      <c r="C918" s="1" t="s">
        <v>10</v>
      </c>
      <c r="D918" s="1" t="s">
        <v>11</v>
      </c>
      <c r="E918" s="1" t="s">
        <v>15</v>
      </c>
      <c r="F918" s="1">
        <v>100</v>
      </c>
      <c r="G918" s="1">
        <v>100</v>
      </c>
      <c r="H918" s="1">
        <v>100</v>
      </c>
    </row>
    <row r="919" spans="1:8" x14ac:dyDescent="0.3">
      <c r="A919" s="1" t="s">
        <v>8</v>
      </c>
      <c r="B919" s="1" t="s">
        <v>13</v>
      </c>
      <c r="C919" s="1" t="s">
        <v>22</v>
      </c>
      <c r="D919" s="1" t="s">
        <v>11</v>
      </c>
      <c r="E919" s="1" t="s">
        <v>12</v>
      </c>
      <c r="F919" s="1">
        <v>44</v>
      </c>
      <c r="G919" s="1">
        <v>61</v>
      </c>
      <c r="H919" s="1">
        <v>52</v>
      </c>
    </row>
    <row r="920" spans="1:8" x14ac:dyDescent="0.3">
      <c r="A920" s="1" t="s">
        <v>8</v>
      </c>
      <c r="B920" s="1" t="s">
        <v>13</v>
      </c>
      <c r="C920" s="1" t="s">
        <v>19</v>
      </c>
      <c r="D920" s="1" t="s">
        <v>11</v>
      </c>
      <c r="E920" s="1" t="s">
        <v>15</v>
      </c>
      <c r="F920" s="1">
        <v>57</v>
      </c>
      <c r="G920" s="1">
        <v>77</v>
      </c>
      <c r="H920" s="1">
        <v>80</v>
      </c>
    </row>
    <row r="921" spans="1:8" x14ac:dyDescent="0.3">
      <c r="A921" s="1" t="s">
        <v>17</v>
      </c>
      <c r="B921" s="1" t="s">
        <v>9</v>
      </c>
      <c r="C921" s="1" t="s">
        <v>14</v>
      </c>
      <c r="D921" s="1" t="s">
        <v>11</v>
      </c>
      <c r="E921" s="1" t="s">
        <v>15</v>
      </c>
      <c r="F921" s="1">
        <v>91</v>
      </c>
      <c r="G921" s="1">
        <v>96</v>
      </c>
      <c r="H921" s="1">
        <v>91</v>
      </c>
    </row>
    <row r="922" spans="1:8" x14ac:dyDescent="0.3">
      <c r="A922" s="1" t="s">
        <v>17</v>
      </c>
      <c r="B922" s="1" t="s">
        <v>21</v>
      </c>
      <c r="C922" s="1" t="s">
        <v>22</v>
      </c>
      <c r="D922" s="1" t="s">
        <v>20</v>
      </c>
      <c r="E922" s="1" t="s">
        <v>12</v>
      </c>
      <c r="F922" s="1">
        <v>69</v>
      </c>
      <c r="G922" s="1">
        <v>70</v>
      </c>
      <c r="H922" s="1">
        <v>67</v>
      </c>
    </row>
    <row r="923" spans="1:8" x14ac:dyDescent="0.3">
      <c r="A923" s="1" t="s">
        <v>8</v>
      </c>
      <c r="B923" s="1" t="s">
        <v>13</v>
      </c>
      <c r="C923" s="1" t="s">
        <v>22</v>
      </c>
      <c r="D923" s="1" t="s">
        <v>20</v>
      </c>
      <c r="E923" s="1" t="s">
        <v>12</v>
      </c>
      <c r="F923" s="1">
        <v>35</v>
      </c>
      <c r="G923" s="1">
        <v>53</v>
      </c>
      <c r="H923" s="1">
        <v>46</v>
      </c>
    </row>
    <row r="924" spans="1:8" x14ac:dyDescent="0.3">
      <c r="A924" s="1" t="s">
        <v>17</v>
      </c>
      <c r="B924" s="1" t="s">
        <v>21</v>
      </c>
      <c r="C924" s="1" t="s">
        <v>22</v>
      </c>
      <c r="D924" s="1" t="s">
        <v>11</v>
      </c>
      <c r="E924" s="1" t="s">
        <v>12</v>
      </c>
      <c r="F924" s="1">
        <v>72</v>
      </c>
      <c r="G924" s="1">
        <v>66</v>
      </c>
      <c r="H924" s="1">
        <v>66</v>
      </c>
    </row>
    <row r="925" spans="1:8" x14ac:dyDescent="0.3">
      <c r="A925" s="1" t="s">
        <v>8</v>
      </c>
      <c r="B925" s="1" t="s">
        <v>9</v>
      </c>
      <c r="C925" s="1" t="s">
        <v>19</v>
      </c>
      <c r="D925" s="1" t="s">
        <v>20</v>
      </c>
      <c r="E925" s="1" t="s">
        <v>12</v>
      </c>
      <c r="F925" s="1">
        <v>54</v>
      </c>
      <c r="G925" s="1">
        <v>65</v>
      </c>
      <c r="H925" s="1">
        <v>65</v>
      </c>
    </row>
    <row r="926" spans="1:8" x14ac:dyDescent="0.3">
      <c r="A926" s="1" t="s">
        <v>17</v>
      </c>
      <c r="B926" s="1" t="s">
        <v>21</v>
      </c>
      <c r="C926" s="1" t="s">
        <v>22</v>
      </c>
      <c r="D926" s="1" t="s">
        <v>20</v>
      </c>
      <c r="E926" s="1" t="s">
        <v>12</v>
      </c>
      <c r="F926" s="1">
        <v>74</v>
      </c>
      <c r="G926" s="1">
        <v>70</v>
      </c>
      <c r="H926" s="1">
        <v>69</v>
      </c>
    </row>
    <row r="927" spans="1:8" x14ac:dyDescent="0.3">
      <c r="A927" s="1" t="s">
        <v>17</v>
      </c>
      <c r="B927" s="1" t="s">
        <v>24</v>
      </c>
      <c r="C927" s="1" t="s">
        <v>23</v>
      </c>
      <c r="D927" s="1" t="s">
        <v>11</v>
      </c>
      <c r="E927" s="1" t="s">
        <v>15</v>
      </c>
      <c r="F927" s="1">
        <v>74</v>
      </c>
      <c r="G927" s="1">
        <v>64</v>
      </c>
      <c r="H927" s="1">
        <v>60</v>
      </c>
    </row>
    <row r="928" spans="1:8" x14ac:dyDescent="0.3">
      <c r="A928" s="1" t="s">
        <v>17</v>
      </c>
      <c r="B928" s="1" t="s">
        <v>24</v>
      </c>
      <c r="C928" s="1" t="s">
        <v>19</v>
      </c>
      <c r="D928" s="1" t="s">
        <v>20</v>
      </c>
      <c r="E928" s="1" t="s">
        <v>12</v>
      </c>
      <c r="F928" s="1">
        <v>64</v>
      </c>
      <c r="G928" s="1">
        <v>56</v>
      </c>
      <c r="H928" s="1">
        <v>52</v>
      </c>
    </row>
    <row r="929" spans="1:8" x14ac:dyDescent="0.3">
      <c r="A929" s="1" t="s">
        <v>8</v>
      </c>
      <c r="B929" s="1" t="s">
        <v>21</v>
      </c>
      <c r="C929" s="1" t="s">
        <v>22</v>
      </c>
      <c r="D929" s="1" t="s">
        <v>20</v>
      </c>
      <c r="E929" s="1" t="s">
        <v>15</v>
      </c>
      <c r="F929" s="1">
        <v>65</v>
      </c>
      <c r="G929" s="1">
        <v>61</v>
      </c>
      <c r="H929" s="1">
        <v>71</v>
      </c>
    </row>
    <row r="930" spans="1:8" x14ac:dyDescent="0.3">
      <c r="A930" s="1" t="s">
        <v>17</v>
      </c>
      <c r="B930" s="1" t="s">
        <v>24</v>
      </c>
      <c r="C930" s="1" t="s">
        <v>19</v>
      </c>
      <c r="D930" s="1" t="s">
        <v>20</v>
      </c>
      <c r="E930" s="1" t="s">
        <v>15</v>
      </c>
      <c r="F930" s="1">
        <v>46</v>
      </c>
      <c r="G930" s="1">
        <v>43</v>
      </c>
      <c r="H930" s="1">
        <v>44</v>
      </c>
    </row>
    <row r="931" spans="1:8" x14ac:dyDescent="0.3">
      <c r="A931" s="1" t="s">
        <v>8</v>
      </c>
      <c r="B931" s="1" t="s">
        <v>13</v>
      </c>
      <c r="C931" s="1" t="s">
        <v>23</v>
      </c>
      <c r="D931" s="1" t="s">
        <v>20</v>
      </c>
      <c r="E931" s="1" t="s">
        <v>12</v>
      </c>
      <c r="F931" s="1">
        <v>48</v>
      </c>
      <c r="G931" s="1">
        <v>56</v>
      </c>
      <c r="H931" s="1">
        <v>51</v>
      </c>
    </row>
    <row r="932" spans="1:8" x14ac:dyDescent="0.3">
      <c r="A932" s="1" t="s">
        <v>17</v>
      </c>
      <c r="B932" s="1" t="s">
        <v>13</v>
      </c>
      <c r="C932" s="1" t="s">
        <v>14</v>
      </c>
      <c r="D932" s="1" t="s">
        <v>20</v>
      </c>
      <c r="E932" s="1" t="s">
        <v>15</v>
      </c>
      <c r="F932" s="1">
        <v>67</v>
      </c>
      <c r="G932" s="1">
        <v>74</v>
      </c>
      <c r="H932" s="1">
        <v>70</v>
      </c>
    </row>
    <row r="933" spans="1:8" x14ac:dyDescent="0.3">
      <c r="A933" s="1" t="s">
        <v>17</v>
      </c>
      <c r="B933" s="1" t="s">
        <v>21</v>
      </c>
      <c r="C933" s="1" t="s">
        <v>14</v>
      </c>
      <c r="D933" s="1" t="s">
        <v>20</v>
      </c>
      <c r="E933" s="1" t="s">
        <v>12</v>
      </c>
      <c r="F933" s="1">
        <v>62</v>
      </c>
      <c r="G933" s="1">
        <v>57</v>
      </c>
      <c r="H933" s="1">
        <v>62</v>
      </c>
    </row>
    <row r="934" spans="1:8" x14ac:dyDescent="0.3">
      <c r="A934" s="1" t="s">
        <v>17</v>
      </c>
      <c r="B934" s="1" t="s">
        <v>21</v>
      </c>
      <c r="C934" s="1" t="s">
        <v>19</v>
      </c>
      <c r="D934" s="1" t="s">
        <v>20</v>
      </c>
      <c r="E934" s="1" t="s">
        <v>15</v>
      </c>
      <c r="F934" s="1">
        <v>61</v>
      </c>
      <c r="G934" s="1">
        <v>71</v>
      </c>
      <c r="H934" s="1">
        <v>73</v>
      </c>
    </row>
    <row r="935" spans="1:8" x14ac:dyDescent="0.3">
      <c r="A935" s="1" t="s">
        <v>17</v>
      </c>
      <c r="B935" s="1" t="s">
        <v>13</v>
      </c>
      <c r="C935" s="1" t="s">
        <v>10</v>
      </c>
      <c r="D935" s="1" t="s">
        <v>20</v>
      </c>
      <c r="E935" s="1" t="s">
        <v>15</v>
      </c>
      <c r="F935" s="1">
        <v>70</v>
      </c>
      <c r="G935" s="1">
        <v>75</v>
      </c>
      <c r="H935" s="1">
        <v>74</v>
      </c>
    </row>
    <row r="936" spans="1:8" x14ac:dyDescent="0.3">
      <c r="A936" s="1" t="s">
        <v>17</v>
      </c>
      <c r="B936" s="1" t="s">
        <v>13</v>
      </c>
      <c r="C936" s="1" t="s">
        <v>19</v>
      </c>
      <c r="D936" s="1" t="s">
        <v>11</v>
      </c>
      <c r="E936" s="1" t="s">
        <v>15</v>
      </c>
      <c r="F936" s="1">
        <v>98</v>
      </c>
      <c r="G936" s="1">
        <v>87</v>
      </c>
      <c r="H936" s="1">
        <v>90</v>
      </c>
    </row>
    <row r="937" spans="1:8" x14ac:dyDescent="0.3">
      <c r="A937" s="1" t="s">
        <v>17</v>
      </c>
      <c r="B937" s="1" t="s">
        <v>21</v>
      </c>
      <c r="C937" s="1" t="s">
        <v>14</v>
      </c>
      <c r="D937" s="1" t="s">
        <v>20</v>
      </c>
      <c r="E937" s="1" t="s">
        <v>12</v>
      </c>
      <c r="F937" s="1">
        <v>70</v>
      </c>
      <c r="G937" s="1">
        <v>63</v>
      </c>
      <c r="H937" s="1">
        <v>58</v>
      </c>
    </row>
    <row r="938" spans="1:8" x14ac:dyDescent="0.3">
      <c r="A938" s="1" t="s">
        <v>17</v>
      </c>
      <c r="B938" s="1" t="s">
        <v>18</v>
      </c>
      <c r="C938" s="1" t="s">
        <v>19</v>
      </c>
      <c r="D938" s="1" t="s">
        <v>11</v>
      </c>
      <c r="E938" s="1" t="s">
        <v>12</v>
      </c>
      <c r="F938" s="1">
        <v>67</v>
      </c>
      <c r="G938" s="1">
        <v>57</v>
      </c>
      <c r="H938" s="1">
        <v>53</v>
      </c>
    </row>
    <row r="939" spans="1:8" x14ac:dyDescent="0.3">
      <c r="A939" s="1" t="s">
        <v>8</v>
      </c>
      <c r="B939" s="1" t="s">
        <v>24</v>
      </c>
      <c r="C939" s="1" t="s">
        <v>22</v>
      </c>
      <c r="D939" s="1" t="s">
        <v>20</v>
      </c>
      <c r="E939" s="1" t="s">
        <v>12</v>
      </c>
      <c r="F939" s="1">
        <v>57</v>
      </c>
      <c r="G939" s="1">
        <v>58</v>
      </c>
      <c r="H939" s="1">
        <v>57</v>
      </c>
    </row>
    <row r="940" spans="1:8" x14ac:dyDescent="0.3">
      <c r="A940" s="1" t="s">
        <v>17</v>
      </c>
      <c r="B940" s="1" t="s">
        <v>21</v>
      </c>
      <c r="C940" s="1" t="s">
        <v>14</v>
      </c>
      <c r="D940" s="1" t="s">
        <v>11</v>
      </c>
      <c r="E940" s="1" t="s">
        <v>15</v>
      </c>
      <c r="F940" s="1">
        <v>85</v>
      </c>
      <c r="G940" s="1">
        <v>81</v>
      </c>
      <c r="H940" s="1">
        <v>85</v>
      </c>
    </row>
    <row r="941" spans="1:8" x14ac:dyDescent="0.3">
      <c r="A941" s="1" t="s">
        <v>17</v>
      </c>
      <c r="B941" s="1" t="s">
        <v>21</v>
      </c>
      <c r="C941" s="1" t="s">
        <v>23</v>
      </c>
      <c r="D941" s="1" t="s">
        <v>11</v>
      </c>
      <c r="E941" s="1" t="s">
        <v>15</v>
      </c>
      <c r="F941" s="1">
        <v>77</v>
      </c>
      <c r="G941" s="1">
        <v>68</v>
      </c>
      <c r="H941" s="1">
        <v>69</v>
      </c>
    </row>
    <row r="942" spans="1:8" x14ac:dyDescent="0.3">
      <c r="A942" s="1" t="s">
        <v>17</v>
      </c>
      <c r="B942" s="1" t="s">
        <v>13</v>
      </c>
      <c r="C942" s="1" t="s">
        <v>16</v>
      </c>
      <c r="D942" s="1" t="s">
        <v>20</v>
      </c>
      <c r="E942" s="1" t="s">
        <v>15</v>
      </c>
      <c r="F942" s="1">
        <v>72</v>
      </c>
      <c r="G942" s="1">
        <v>66</v>
      </c>
      <c r="H942" s="1">
        <v>72</v>
      </c>
    </row>
    <row r="943" spans="1:8" x14ac:dyDescent="0.3">
      <c r="A943" s="1" t="s">
        <v>8</v>
      </c>
      <c r="B943" s="1" t="s">
        <v>21</v>
      </c>
      <c r="C943" s="1" t="s">
        <v>16</v>
      </c>
      <c r="D943" s="1" t="s">
        <v>11</v>
      </c>
      <c r="E943" s="1" t="s">
        <v>12</v>
      </c>
      <c r="F943" s="1">
        <v>78</v>
      </c>
      <c r="G943" s="1">
        <v>91</v>
      </c>
      <c r="H943" s="1">
        <v>96</v>
      </c>
    </row>
    <row r="944" spans="1:8" x14ac:dyDescent="0.3">
      <c r="A944" s="1" t="s">
        <v>17</v>
      </c>
      <c r="B944" s="1" t="s">
        <v>13</v>
      </c>
      <c r="C944" s="1" t="s">
        <v>22</v>
      </c>
      <c r="D944" s="1" t="s">
        <v>11</v>
      </c>
      <c r="E944" s="1" t="s">
        <v>12</v>
      </c>
      <c r="F944" s="1">
        <v>81</v>
      </c>
      <c r="G944" s="1">
        <v>66</v>
      </c>
      <c r="H944" s="1">
        <v>64</v>
      </c>
    </row>
    <row r="945" spans="1:8" x14ac:dyDescent="0.3">
      <c r="A945" s="1" t="s">
        <v>17</v>
      </c>
      <c r="B945" s="1" t="s">
        <v>18</v>
      </c>
      <c r="C945" s="1" t="s">
        <v>23</v>
      </c>
      <c r="D945" s="1" t="s">
        <v>20</v>
      </c>
      <c r="E945" s="1" t="s">
        <v>15</v>
      </c>
      <c r="F945" s="1">
        <v>61</v>
      </c>
      <c r="G945" s="1">
        <v>62</v>
      </c>
      <c r="H945" s="1">
        <v>61</v>
      </c>
    </row>
    <row r="946" spans="1:8" x14ac:dyDescent="0.3">
      <c r="A946" s="1" t="s">
        <v>8</v>
      </c>
      <c r="B946" s="1" t="s">
        <v>9</v>
      </c>
      <c r="C946" s="1" t="s">
        <v>22</v>
      </c>
      <c r="D946" s="1" t="s">
        <v>11</v>
      </c>
      <c r="E946" s="1" t="s">
        <v>12</v>
      </c>
      <c r="F946" s="1">
        <v>58</v>
      </c>
      <c r="G946" s="1">
        <v>68</v>
      </c>
      <c r="H946" s="1">
        <v>61</v>
      </c>
    </row>
    <row r="947" spans="1:8" x14ac:dyDescent="0.3">
      <c r="A947" s="1" t="s">
        <v>8</v>
      </c>
      <c r="B947" s="1" t="s">
        <v>13</v>
      </c>
      <c r="C947" s="1" t="s">
        <v>19</v>
      </c>
      <c r="D947" s="1" t="s">
        <v>11</v>
      </c>
      <c r="E947" s="1" t="s">
        <v>12</v>
      </c>
      <c r="F947" s="1">
        <v>54</v>
      </c>
      <c r="G947" s="1">
        <v>61</v>
      </c>
      <c r="H947" s="1">
        <v>58</v>
      </c>
    </row>
    <row r="948" spans="1:8" x14ac:dyDescent="0.3">
      <c r="A948" s="1" t="s">
        <v>17</v>
      </c>
      <c r="B948" s="1" t="s">
        <v>9</v>
      </c>
      <c r="C948" s="1" t="s">
        <v>22</v>
      </c>
      <c r="D948" s="1" t="s">
        <v>11</v>
      </c>
      <c r="E948" s="1" t="s">
        <v>12</v>
      </c>
      <c r="F948" s="1">
        <v>82</v>
      </c>
      <c r="G948" s="1">
        <v>82</v>
      </c>
      <c r="H948" s="1">
        <v>80</v>
      </c>
    </row>
    <row r="949" spans="1:8" x14ac:dyDescent="0.3">
      <c r="A949" s="1" t="s">
        <v>8</v>
      </c>
      <c r="B949" s="1" t="s">
        <v>21</v>
      </c>
      <c r="C949" s="1" t="s">
        <v>14</v>
      </c>
      <c r="D949" s="1" t="s">
        <v>20</v>
      </c>
      <c r="E949" s="1" t="s">
        <v>12</v>
      </c>
      <c r="F949" s="1">
        <v>49</v>
      </c>
      <c r="G949" s="1">
        <v>58</v>
      </c>
      <c r="H949" s="1">
        <v>60</v>
      </c>
    </row>
    <row r="950" spans="1:8" x14ac:dyDescent="0.3">
      <c r="A950" s="1" t="s">
        <v>17</v>
      </c>
      <c r="B950" s="1" t="s">
        <v>9</v>
      </c>
      <c r="C950" s="1" t="s">
        <v>23</v>
      </c>
      <c r="D950" s="1" t="s">
        <v>20</v>
      </c>
      <c r="E950" s="1" t="s">
        <v>15</v>
      </c>
      <c r="F950" s="1">
        <v>49</v>
      </c>
      <c r="G950" s="1">
        <v>50</v>
      </c>
      <c r="H950" s="1">
        <v>52</v>
      </c>
    </row>
    <row r="951" spans="1:8" x14ac:dyDescent="0.3">
      <c r="A951" s="1" t="s">
        <v>8</v>
      </c>
      <c r="B951" s="1" t="s">
        <v>24</v>
      </c>
      <c r="C951" s="1" t="s">
        <v>22</v>
      </c>
      <c r="D951" s="1" t="s">
        <v>20</v>
      </c>
      <c r="E951" s="1" t="s">
        <v>15</v>
      </c>
      <c r="F951" s="1">
        <v>57</v>
      </c>
      <c r="G951" s="1">
        <v>75</v>
      </c>
      <c r="H951" s="1">
        <v>73</v>
      </c>
    </row>
    <row r="952" spans="1:8" x14ac:dyDescent="0.3">
      <c r="A952" s="1" t="s">
        <v>17</v>
      </c>
      <c r="B952" s="1" t="s">
        <v>24</v>
      </c>
      <c r="C952" s="1" t="s">
        <v>22</v>
      </c>
      <c r="D952" s="1" t="s">
        <v>11</v>
      </c>
      <c r="E952" s="1" t="s">
        <v>12</v>
      </c>
      <c r="F952" s="1">
        <v>94</v>
      </c>
      <c r="G952" s="1">
        <v>73</v>
      </c>
      <c r="H952" s="1">
        <v>71</v>
      </c>
    </row>
    <row r="953" spans="1:8" x14ac:dyDescent="0.3">
      <c r="A953" s="1" t="s">
        <v>8</v>
      </c>
      <c r="B953" s="1" t="s">
        <v>21</v>
      </c>
      <c r="C953" s="1" t="s">
        <v>14</v>
      </c>
      <c r="D953" s="1" t="s">
        <v>11</v>
      </c>
      <c r="E953" s="1" t="s">
        <v>15</v>
      </c>
      <c r="F953" s="1">
        <v>75</v>
      </c>
      <c r="G953" s="1">
        <v>77</v>
      </c>
      <c r="H953" s="1">
        <v>83</v>
      </c>
    </row>
    <row r="954" spans="1:8" x14ac:dyDescent="0.3">
      <c r="A954" s="1" t="s">
        <v>8</v>
      </c>
      <c r="B954" s="1" t="s">
        <v>24</v>
      </c>
      <c r="C954" s="1" t="s">
        <v>23</v>
      </c>
      <c r="D954" s="1" t="s">
        <v>20</v>
      </c>
      <c r="E954" s="1" t="s">
        <v>12</v>
      </c>
      <c r="F954" s="1">
        <v>74</v>
      </c>
      <c r="G954" s="1">
        <v>74</v>
      </c>
      <c r="H954" s="1">
        <v>72</v>
      </c>
    </row>
    <row r="955" spans="1:8" x14ac:dyDescent="0.3">
      <c r="A955" s="1" t="s">
        <v>17</v>
      </c>
      <c r="B955" s="1" t="s">
        <v>13</v>
      </c>
      <c r="C955" s="1" t="s">
        <v>22</v>
      </c>
      <c r="D955" s="1" t="s">
        <v>11</v>
      </c>
      <c r="E955" s="1" t="s">
        <v>15</v>
      </c>
      <c r="F955" s="1">
        <v>58</v>
      </c>
      <c r="G955" s="1">
        <v>52</v>
      </c>
      <c r="H955" s="1">
        <v>54</v>
      </c>
    </row>
    <row r="956" spans="1:8" x14ac:dyDescent="0.3">
      <c r="A956" s="1" t="s">
        <v>8</v>
      </c>
      <c r="B956" s="1" t="s">
        <v>13</v>
      </c>
      <c r="C956" s="1" t="s">
        <v>14</v>
      </c>
      <c r="D956" s="1" t="s">
        <v>11</v>
      </c>
      <c r="E956" s="1" t="s">
        <v>12</v>
      </c>
      <c r="F956" s="1">
        <v>62</v>
      </c>
      <c r="G956" s="1">
        <v>69</v>
      </c>
      <c r="H956" s="1">
        <v>69</v>
      </c>
    </row>
    <row r="957" spans="1:8" x14ac:dyDescent="0.3">
      <c r="A957" s="1" t="s">
        <v>17</v>
      </c>
      <c r="B957" s="1" t="s">
        <v>24</v>
      </c>
      <c r="C957" s="1" t="s">
        <v>19</v>
      </c>
      <c r="D957" s="1" t="s">
        <v>11</v>
      </c>
      <c r="E957" s="1" t="s">
        <v>12</v>
      </c>
      <c r="F957" s="1">
        <v>72</v>
      </c>
      <c r="G957" s="1">
        <v>57</v>
      </c>
      <c r="H957" s="1">
        <v>62</v>
      </c>
    </row>
    <row r="958" spans="1:8" x14ac:dyDescent="0.3">
      <c r="A958" s="1" t="s">
        <v>17</v>
      </c>
      <c r="B958" s="1" t="s">
        <v>13</v>
      </c>
      <c r="C958" s="1" t="s">
        <v>14</v>
      </c>
      <c r="D958" s="1" t="s">
        <v>11</v>
      </c>
      <c r="E958" s="1" t="s">
        <v>12</v>
      </c>
      <c r="F958" s="1">
        <v>84</v>
      </c>
      <c r="G958" s="1">
        <v>87</v>
      </c>
      <c r="H958" s="1">
        <v>81</v>
      </c>
    </row>
    <row r="959" spans="1:8" x14ac:dyDescent="0.3">
      <c r="A959" s="1" t="s">
        <v>8</v>
      </c>
      <c r="B959" s="1" t="s">
        <v>21</v>
      </c>
      <c r="C959" s="1" t="s">
        <v>16</v>
      </c>
      <c r="D959" s="1" t="s">
        <v>11</v>
      </c>
      <c r="E959" s="1" t="s">
        <v>12</v>
      </c>
      <c r="F959" s="1">
        <v>92</v>
      </c>
      <c r="G959" s="1">
        <v>100</v>
      </c>
      <c r="H959" s="1">
        <v>100</v>
      </c>
    </row>
    <row r="960" spans="1:8" x14ac:dyDescent="0.3">
      <c r="A960" s="1" t="s">
        <v>8</v>
      </c>
      <c r="B960" s="1" t="s">
        <v>21</v>
      </c>
      <c r="C960" s="1" t="s">
        <v>22</v>
      </c>
      <c r="D960" s="1" t="s">
        <v>11</v>
      </c>
      <c r="E960" s="1" t="s">
        <v>12</v>
      </c>
      <c r="F960" s="1">
        <v>45</v>
      </c>
      <c r="G960" s="1">
        <v>63</v>
      </c>
      <c r="H960" s="1">
        <v>59</v>
      </c>
    </row>
    <row r="961" spans="1:8" x14ac:dyDescent="0.3">
      <c r="A961" s="1" t="s">
        <v>17</v>
      </c>
      <c r="B961" s="1" t="s">
        <v>13</v>
      </c>
      <c r="C961" s="1" t="s">
        <v>22</v>
      </c>
      <c r="D961" s="1" t="s">
        <v>11</v>
      </c>
      <c r="E961" s="1" t="s">
        <v>12</v>
      </c>
      <c r="F961" s="1">
        <v>75</v>
      </c>
      <c r="G961" s="1">
        <v>81</v>
      </c>
      <c r="H961" s="1">
        <v>71</v>
      </c>
    </row>
    <row r="962" spans="1:8" x14ac:dyDescent="0.3">
      <c r="A962" s="1" t="s">
        <v>8</v>
      </c>
      <c r="B962" s="1" t="s">
        <v>18</v>
      </c>
      <c r="C962" s="1" t="s">
        <v>14</v>
      </c>
      <c r="D962" s="1" t="s">
        <v>11</v>
      </c>
      <c r="E962" s="1" t="s">
        <v>12</v>
      </c>
      <c r="F962" s="1">
        <v>56</v>
      </c>
      <c r="G962" s="1">
        <v>58</v>
      </c>
      <c r="H962" s="1">
        <v>64</v>
      </c>
    </row>
    <row r="963" spans="1:8" x14ac:dyDescent="0.3">
      <c r="A963" s="1" t="s">
        <v>8</v>
      </c>
      <c r="B963" s="1" t="s">
        <v>21</v>
      </c>
      <c r="C963" s="1" t="s">
        <v>23</v>
      </c>
      <c r="D963" s="1" t="s">
        <v>20</v>
      </c>
      <c r="E963" s="1" t="s">
        <v>12</v>
      </c>
      <c r="F963" s="1">
        <v>48</v>
      </c>
      <c r="G963" s="1">
        <v>54</v>
      </c>
      <c r="H963" s="1">
        <v>53</v>
      </c>
    </row>
    <row r="964" spans="1:8" x14ac:dyDescent="0.3">
      <c r="A964" s="1" t="s">
        <v>8</v>
      </c>
      <c r="B964" s="1" t="s">
        <v>24</v>
      </c>
      <c r="C964" s="1" t="s">
        <v>19</v>
      </c>
      <c r="D964" s="1" t="s">
        <v>11</v>
      </c>
      <c r="E964" s="1" t="s">
        <v>12</v>
      </c>
      <c r="F964" s="1">
        <v>100</v>
      </c>
      <c r="G964" s="1">
        <v>100</v>
      </c>
      <c r="H964" s="1">
        <v>100</v>
      </c>
    </row>
    <row r="965" spans="1:8" x14ac:dyDescent="0.3">
      <c r="A965" s="1" t="s">
        <v>8</v>
      </c>
      <c r="B965" s="1" t="s">
        <v>13</v>
      </c>
      <c r="C965" s="1" t="s">
        <v>23</v>
      </c>
      <c r="D965" s="1" t="s">
        <v>20</v>
      </c>
      <c r="E965" s="1" t="s">
        <v>15</v>
      </c>
      <c r="F965" s="1">
        <v>65</v>
      </c>
      <c r="G965" s="1">
        <v>76</v>
      </c>
      <c r="H965" s="1">
        <v>75</v>
      </c>
    </row>
    <row r="966" spans="1:8" x14ac:dyDescent="0.3">
      <c r="A966" s="1" t="s">
        <v>17</v>
      </c>
      <c r="B966" s="1" t="s">
        <v>21</v>
      </c>
      <c r="C966" s="1" t="s">
        <v>14</v>
      </c>
      <c r="D966" s="1" t="s">
        <v>11</v>
      </c>
      <c r="E966" s="1" t="s">
        <v>12</v>
      </c>
      <c r="F966" s="1">
        <v>72</v>
      </c>
      <c r="G966" s="1">
        <v>57</v>
      </c>
      <c r="H966" s="1">
        <v>58</v>
      </c>
    </row>
    <row r="967" spans="1:8" x14ac:dyDescent="0.3">
      <c r="A967" s="1" t="s">
        <v>8</v>
      </c>
      <c r="B967" s="1" t="s">
        <v>21</v>
      </c>
      <c r="C967" s="1" t="s">
        <v>14</v>
      </c>
      <c r="D967" s="1" t="s">
        <v>11</v>
      </c>
      <c r="E967" s="1" t="s">
        <v>12</v>
      </c>
      <c r="F967" s="1">
        <v>62</v>
      </c>
      <c r="G967" s="1">
        <v>70</v>
      </c>
      <c r="H967" s="1">
        <v>72</v>
      </c>
    </row>
    <row r="968" spans="1:8" x14ac:dyDescent="0.3">
      <c r="A968" s="1" t="s">
        <v>17</v>
      </c>
      <c r="B968" s="1" t="s">
        <v>18</v>
      </c>
      <c r="C968" s="1" t="s">
        <v>23</v>
      </c>
      <c r="D968" s="1" t="s">
        <v>11</v>
      </c>
      <c r="E968" s="1" t="s">
        <v>15</v>
      </c>
      <c r="F968" s="1">
        <v>66</v>
      </c>
      <c r="G968" s="1">
        <v>68</v>
      </c>
      <c r="H968" s="1">
        <v>64</v>
      </c>
    </row>
    <row r="969" spans="1:8" x14ac:dyDescent="0.3">
      <c r="A969" s="1" t="s">
        <v>17</v>
      </c>
      <c r="B969" s="1" t="s">
        <v>13</v>
      </c>
      <c r="C969" s="1" t="s">
        <v>14</v>
      </c>
      <c r="D969" s="1" t="s">
        <v>11</v>
      </c>
      <c r="E969" s="1" t="s">
        <v>12</v>
      </c>
      <c r="F969" s="1">
        <v>63</v>
      </c>
      <c r="G969" s="1">
        <v>63</v>
      </c>
      <c r="H969" s="1">
        <v>60</v>
      </c>
    </row>
    <row r="970" spans="1:8" x14ac:dyDescent="0.3">
      <c r="A970" s="1" t="s">
        <v>8</v>
      </c>
      <c r="B970" s="1" t="s">
        <v>24</v>
      </c>
      <c r="C970" s="1" t="s">
        <v>19</v>
      </c>
      <c r="D970" s="1" t="s">
        <v>11</v>
      </c>
      <c r="E970" s="1" t="s">
        <v>12</v>
      </c>
      <c r="F970" s="1">
        <v>68</v>
      </c>
      <c r="G970" s="1">
        <v>76</v>
      </c>
      <c r="H970" s="1">
        <v>67</v>
      </c>
    </row>
    <row r="971" spans="1:8" x14ac:dyDescent="0.3">
      <c r="A971" s="1" t="s">
        <v>8</v>
      </c>
      <c r="B971" s="1" t="s">
        <v>9</v>
      </c>
      <c r="C971" s="1" t="s">
        <v>10</v>
      </c>
      <c r="D971" s="1" t="s">
        <v>11</v>
      </c>
      <c r="E971" s="1" t="s">
        <v>12</v>
      </c>
      <c r="F971" s="1">
        <v>75</v>
      </c>
      <c r="G971" s="1">
        <v>84</v>
      </c>
      <c r="H971" s="1">
        <v>80</v>
      </c>
    </row>
    <row r="972" spans="1:8" x14ac:dyDescent="0.3">
      <c r="A972" s="1" t="s">
        <v>8</v>
      </c>
      <c r="B972" s="1" t="s">
        <v>21</v>
      </c>
      <c r="C972" s="1" t="s">
        <v>10</v>
      </c>
      <c r="D972" s="1" t="s">
        <v>11</v>
      </c>
      <c r="E972" s="1" t="s">
        <v>12</v>
      </c>
      <c r="F972" s="1">
        <v>89</v>
      </c>
      <c r="G972" s="1">
        <v>100</v>
      </c>
      <c r="H972" s="1">
        <v>100</v>
      </c>
    </row>
    <row r="973" spans="1:8" x14ac:dyDescent="0.3">
      <c r="A973" s="1" t="s">
        <v>17</v>
      </c>
      <c r="B973" s="1" t="s">
        <v>13</v>
      </c>
      <c r="C973" s="1" t="s">
        <v>23</v>
      </c>
      <c r="D973" s="1" t="s">
        <v>11</v>
      </c>
      <c r="E973" s="1" t="s">
        <v>15</v>
      </c>
      <c r="F973" s="1">
        <v>78</v>
      </c>
      <c r="G973" s="1">
        <v>72</v>
      </c>
      <c r="H973" s="1">
        <v>69</v>
      </c>
    </row>
    <row r="974" spans="1:8" x14ac:dyDescent="0.3">
      <c r="A974" s="1" t="s">
        <v>8</v>
      </c>
      <c r="B974" s="1" t="s">
        <v>18</v>
      </c>
      <c r="C974" s="1" t="s">
        <v>22</v>
      </c>
      <c r="D974" s="1" t="s">
        <v>20</v>
      </c>
      <c r="E974" s="1" t="s">
        <v>15</v>
      </c>
      <c r="F974" s="1">
        <v>53</v>
      </c>
      <c r="G974" s="1">
        <v>50</v>
      </c>
      <c r="H974" s="1">
        <v>60</v>
      </c>
    </row>
    <row r="975" spans="1:8" x14ac:dyDescent="0.3">
      <c r="A975" s="1" t="s">
        <v>8</v>
      </c>
      <c r="B975" s="1" t="s">
        <v>21</v>
      </c>
      <c r="C975" s="1" t="s">
        <v>14</v>
      </c>
      <c r="D975" s="1" t="s">
        <v>20</v>
      </c>
      <c r="E975" s="1" t="s">
        <v>12</v>
      </c>
      <c r="F975" s="1">
        <v>49</v>
      </c>
      <c r="G975" s="1">
        <v>65</v>
      </c>
      <c r="H975" s="1">
        <v>61</v>
      </c>
    </row>
    <row r="976" spans="1:8" x14ac:dyDescent="0.3">
      <c r="A976" s="1" t="s">
        <v>8</v>
      </c>
      <c r="B976" s="1" t="s">
        <v>18</v>
      </c>
      <c r="C976" s="1" t="s">
        <v>14</v>
      </c>
      <c r="D976" s="1" t="s">
        <v>11</v>
      </c>
      <c r="E976" s="1" t="s">
        <v>12</v>
      </c>
      <c r="F976" s="1">
        <v>54</v>
      </c>
      <c r="G976" s="1">
        <v>63</v>
      </c>
      <c r="H976" s="1">
        <v>67</v>
      </c>
    </row>
    <row r="977" spans="1:8" x14ac:dyDescent="0.3">
      <c r="A977" s="1" t="s">
        <v>8</v>
      </c>
      <c r="B977" s="1" t="s">
        <v>13</v>
      </c>
      <c r="C977" s="1" t="s">
        <v>14</v>
      </c>
      <c r="D977" s="1" t="s">
        <v>11</v>
      </c>
      <c r="E977" s="1" t="s">
        <v>15</v>
      </c>
      <c r="F977" s="1">
        <v>64</v>
      </c>
      <c r="G977" s="1">
        <v>82</v>
      </c>
      <c r="H977" s="1">
        <v>77</v>
      </c>
    </row>
    <row r="978" spans="1:8" x14ac:dyDescent="0.3">
      <c r="A978" s="1" t="s">
        <v>17</v>
      </c>
      <c r="B978" s="1" t="s">
        <v>9</v>
      </c>
      <c r="C978" s="1" t="s">
        <v>14</v>
      </c>
      <c r="D978" s="1" t="s">
        <v>20</v>
      </c>
      <c r="E978" s="1" t="s">
        <v>15</v>
      </c>
      <c r="F978" s="1">
        <v>60</v>
      </c>
      <c r="G978" s="1">
        <v>62</v>
      </c>
      <c r="H978" s="1">
        <v>60</v>
      </c>
    </row>
    <row r="979" spans="1:8" x14ac:dyDescent="0.3">
      <c r="A979" s="1" t="s">
        <v>17</v>
      </c>
      <c r="B979" s="1" t="s">
        <v>13</v>
      </c>
      <c r="C979" s="1" t="s">
        <v>19</v>
      </c>
      <c r="D979" s="1" t="s">
        <v>11</v>
      </c>
      <c r="E979" s="1" t="s">
        <v>12</v>
      </c>
      <c r="F979" s="1">
        <v>62</v>
      </c>
      <c r="G979" s="1">
        <v>65</v>
      </c>
      <c r="H979" s="1">
        <v>58</v>
      </c>
    </row>
    <row r="980" spans="1:8" x14ac:dyDescent="0.3">
      <c r="A980" s="1" t="s">
        <v>17</v>
      </c>
      <c r="B980" s="1" t="s">
        <v>21</v>
      </c>
      <c r="C980" s="1" t="s">
        <v>22</v>
      </c>
      <c r="D980" s="1" t="s">
        <v>11</v>
      </c>
      <c r="E980" s="1" t="s">
        <v>15</v>
      </c>
      <c r="F980" s="1">
        <v>55</v>
      </c>
      <c r="G980" s="1">
        <v>41</v>
      </c>
      <c r="H980" s="1">
        <v>48</v>
      </c>
    </row>
    <row r="981" spans="1:8" x14ac:dyDescent="0.3">
      <c r="A981" s="1" t="s">
        <v>8</v>
      </c>
      <c r="B981" s="1" t="s">
        <v>13</v>
      </c>
      <c r="C981" s="1" t="s">
        <v>19</v>
      </c>
      <c r="D981" s="1" t="s">
        <v>11</v>
      </c>
      <c r="E981" s="1" t="s">
        <v>12</v>
      </c>
      <c r="F981" s="1">
        <v>91</v>
      </c>
      <c r="G981" s="1">
        <v>95</v>
      </c>
      <c r="H981" s="1">
        <v>94</v>
      </c>
    </row>
    <row r="982" spans="1:8" x14ac:dyDescent="0.3">
      <c r="A982" s="1" t="s">
        <v>8</v>
      </c>
      <c r="B982" s="1" t="s">
        <v>9</v>
      </c>
      <c r="C982" s="1" t="s">
        <v>22</v>
      </c>
      <c r="D982" s="1" t="s">
        <v>20</v>
      </c>
      <c r="E982" s="1" t="s">
        <v>12</v>
      </c>
      <c r="F982" s="1">
        <v>8</v>
      </c>
      <c r="G982" s="1">
        <v>24</v>
      </c>
      <c r="H982" s="1">
        <v>23</v>
      </c>
    </row>
    <row r="983" spans="1:8" x14ac:dyDescent="0.3">
      <c r="A983" s="1" t="s">
        <v>17</v>
      </c>
      <c r="B983" s="1" t="s">
        <v>21</v>
      </c>
      <c r="C983" s="1" t="s">
        <v>23</v>
      </c>
      <c r="D983" s="1" t="s">
        <v>11</v>
      </c>
      <c r="E983" s="1" t="s">
        <v>12</v>
      </c>
      <c r="F983" s="1">
        <v>81</v>
      </c>
      <c r="G983" s="1">
        <v>78</v>
      </c>
      <c r="H983" s="1">
        <v>78</v>
      </c>
    </row>
    <row r="984" spans="1:8" x14ac:dyDescent="0.3">
      <c r="A984" s="1" t="s">
        <v>17</v>
      </c>
      <c r="B984" s="1" t="s">
        <v>9</v>
      </c>
      <c r="C984" s="1" t="s">
        <v>23</v>
      </c>
      <c r="D984" s="1" t="s">
        <v>11</v>
      </c>
      <c r="E984" s="1" t="s">
        <v>15</v>
      </c>
      <c r="F984" s="1">
        <v>79</v>
      </c>
      <c r="G984" s="1">
        <v>85</v>
      </c>
      <c r="H984" s="1">
        <v>86</v>
      </c>
    </row>
    <row r="985" spans="1:8" x14ac:dyDescent="0.3">
      <c r="A985" s="1" t="s">
        <v>8</v>
      </c>
      <c r="B985" s="1" t="s">
        <v>18</v>
      </c>
      <c r="C985" s="1" t="s">
        <v>14</v>
      </c>
      <c r="D985" s="1" t="s">
        <v>11</v>
      </c>
      <c r="E985" s="1" t="s">
        <v>15</v>
      </c>
      <c r="F985" s="1">
        <v>78</v>
      </c>
      <c r="G985" s="1">
        <v>87</v>
      </c>
      <c r="H985" s="1">
        <v>91</v>
      </c>
    </row>
    <row r="986" spans="1:8" x14ac:dyDescent="0.3">
      <c r="A986" s="1" t="s">
        <v>8</v>
      </c>
      <c r="B986" s="1" t="s">
        <v>13</v>
      </c>
      <c r="C986" s="1" t="s">
        <v>23</v>
      </c>
      <c r="D986" s="1" t="s">
        <v>11</v>
      </c>
      <c r="E986" s="1" t="s">
        <v>12</v>
      </c>
      <c r="F986" s="1">
        <v>74</v>
      </c>
      <c r="G986" s="1">
        <v>75</v>
      </c>
      <c r="H986" s="1">
        <v>82</v>
      </c>
    </row>
    <row r="987" spans="1:8" x14ac:dyDescent="0.3">
      <c r="A987" s="1" t="s">
        <v>17</v>
      </c>
      <c r="B987" s="1" t="s">
        <v>18</v>
      </c>
      <c r="C987" s="1" t="s">
        <v>22</v>
      </c>
      <c r="D987" s="1" t="s">
        <v>11</v>
      </c>
      <c r="E987" s="1" t="s">
        <v>12</v>
      </c>
      <c r="F987" s="1">
        <v>57</v>
      </c>
      <c r="G987" s="1">
        <v>51</v>
      </c>
      <c r="H987" s="1">
        <v>54</v>
      </c>
    </row>
    <row r="988" spans="1:8" x14ac:dyDescent="0.3">
      <c r="A988" s="1" t="s">
        <v>8</v>
      </c>
      <c r="B988" s="1" t="s">
        <v>13</v>
      </c>
      <c r="C988" s="1" t="s">
        <v>19</v>
      </c>
      <c r="D988" s="1" t="s">
        <v>11</v>
      </c>
      <c r="E988" s="1" t="s">
        <v>12</v>
      </c>
      <c r="F988" s="1">
        <v>40</v>
      </c>
      <c r="G988" s="1">
        <v>59</v>
      </c>
      <c r="H988" s="1">
        <v>51</v>
      </c>
    </row>
    <row r="989" spans="1:8" x14ac:dyDescent="0.3">
      <c r="A989" s="1" t="s">
        <v>17</v>
      </c>
      <c r="B989" s="1" t="s">
        <v>24</v>
      </c>
      <c r="C989" s="1" t="s">
        <v>23</v>
      </c>
      <c r="D989" s="1" t="s">
        <v>11</v>
      </c>
      <c r="E989" s="1" t="s">
        <v>15</v>
      </c>
      <c r="F989" s="1">
        <v>81</v>
      </c>
      <c r="G989" s="1">
        <v>75</v>
      </c>
      <c r="H989" s="1">
        <v>76</v>
      </c>
    </row>
    <row r="990" spans="1:8" x14ac:dyDescent="0.3">
      <c r="A990" s="1" t="s">
        <v>8</v>
      </c>
      <c r="B990" s="1" t="s">
        <v>18</v>
      </c>
      <c r="C990" s="1" t="s">
        <v>23</v>
      </c>
      <c r="D990" s="1" t="s">
        <v>20</v>
      </c>
      <c r="E990" s="1" t="s">
        <v>12</v>
      </c>
      <c r="F990" s="1">
        <v>44</v>
      </c>
      <c r="G990" s="1">
        <v>45</v>
      </c>
      <c r="H990" s="1">
        <v>45</v>
      </c>
    </row>
    <row r="991" spans="1:8" x14ac:dyDescent="0.3">
      <c r="A991" s="1" t="s">
        <v>8</v>
      </c>
      <c r="B991" s="1" t="s">
        <v>21</v>
      </c>
      <c r="C991" s="1" t="s">
        <v>14</v>
      </c>
      <c r="D991" s="1" t="s">
        <v>20</v>
      </c>
      <c r="E991" s="1" t="s">
        <v>15</v>
      </c>
      <c r="F991" s="1">
        <v>67</v>
      </c>
      <c r="G991" s="1">
        <v>86</v>
      </c>
      <c r="H991" s="1">
        <v>83</v>
      </c>
    </row>
    <row r="992" spans="1:8" x14ac:dyDescent="0.3">
      <c r="A992" s="1" t="s">
        <v>17</v>
      </c>
      <c r="B992" s="1" t="s">
        <v>24</v>
      </c>
      <c r="C992" s="1" t="s">
        <v>22</v>
      </c>
      <c r="D992" s="1" t="s">
        <v>20</v>
      </c>
      <c r="E992" s="1" t="s">
        <v>15</v>
      </c>
      <c r="F992" s="1">
        <v>86</v>
      </c>
      <c r="G992" s="1">
        <v>81</v>
      </c>
      <c r="H992" s="1">
        <v>75</v>
      </c>
    </row>
    <row r="993" spans="1:8" x14ac:dyDescent="0.3">
      <c r="A993" s="1" t="s">
        <v>8</v>
      </c>
      <c r="B993" s="1" t="s">
        <v>9</v>
      </c>
      <c r="C993" s="1" t="s">
        <v>23</v>
      </c>
      <c r="D993" s="1" t="s">
        <v>11</v>
      </c>
      <c r="E993" s="1" t="s">
        <v>15</v>
      </c>
      <c r="F993" s="1">
        <v>65</v>
      </c>
      <c r="G993" s="1">
        <v>82</v>
      </c>
      <c r="H993" s="1">
        <v>78</v>
      </c>
    </row>
    <row r="994" spans="1:8" x14ac:dyDescent="0.3">
      <c r="A994" s="1" t="s">
        <v>8</v>
      </c>
      <c r="B994" s="1" t="s">
        <v>21</v>
      </c>
      <c r="C994" s="1" t="s">
        <v>19</v>
      </c>
      <c r="D994" s="1" t="s">
        <v>20</v>
      </c>
      <c r="E994" s="1" t="s">
        <v>12</v>
      </c>
      <c r="F994" s="1">
        <v>55</v>
      </c>
      <c r="G994" s="1">
        <v>76</v>
      </c>
      <c r="H994" s="1">
        <v>76</v>
      </c>
    </row>
    <row r="995" spans="1:8" x14ac:dyDescent="0.3">
      <c r="A995" s="1" t="s">
        <v>8</v>
      </c>
      <c r="B995" s="1" t="s">
        <v>21</v>
      </c>
      <c r="C995" s="1" t="s">
        <v>10</v>
      </c>
      <c r="D995" s="1" t="s">
        <v>20</v>
      </c>
      <c r="E995" s="1" t="s">
        <v>12</v>
      </c>
      <c r="F995" s="1">
        <v>62</v>
      </c>
      <c r="G995" s="1">
        <v>72</v>
      </c>
      <c r="H995" s="1">
        <v>74</v>
      </c>
    </row>
    <row r="996" spans="1:8" x14ac:dyDescent="0.3">
      <c r="A996" s="1" t="s">
        <v>17</v>
      </c>
      <c r="B996" s="1" t="s">
        <v>18</v>
      </c>
      <c r="C996" s="1" t="s">
        <v>22</v>
      </c>
      <c r="D996" s="1" t="s">
        <v>11</v>
      </c>
      <c r="E996" s="1" t="s">
        <v>12</v>
      </c>
      <c r="F996" s="1">
        <v>63</v>
      </c>
      <c r="G996" s="1">
        <v>63</v>
      </c>
      <c r="H996" s="1">
        <v>62</v>
      </c>
    </row>
    <row r="997" spans="1:8" x14ac:dyDescent="0.3">
      <c r="A997" s="1" t="s">
        <v>8</v>
      </c>
      <c r="B997" s="1" t="s">
        <v>24</v>
      </c>
      <c r="C997" s="1" t="s">
        <v>16</v>
      </c>
      <c r="D997" s="1" t="s">
        <v>11</v>
      </c>
      <c r="E997" s="1" t="s">
        <v>15</v>
      </c>
      <c r="F997" s="1">
        <v>88</v>
      </c>
      <c r="G997" s="1">
        <v>99</v>
      </c>
      <c r="H997" s="1">
        <v>95</v>
      </c>
    </row>
    <row r="998" spans="1:8" x14ac:dyDescent="0.3">
      <c r="A998" s="1" t="s">
        <v>17</v>
      </c>
      <c r="B998" s="1" t="s">
        <v>13</v>
      </c>
      <c r="C998" s="1" t="s">
        <v>22</v>
      </c>
      <c r="D998" s="1" t="s">
        <v>20</v>
      </c>
      <c r="E998" s="1" t="s">
        <v>12</v>
      </c>
      <c r="F998" s="1">
        <v>62</v>
      </c>
      <c r="G998" s="1">
        <v>55</v>
      </c>
      <c r="H998" s="1">
        <v>55</v>
      </c>
    </row>
    <row r="999" spans="1:8" x14ac:dyDescent="0.3">
      <c r="A999" s="1" t="s">
        <v>8</v>
      </c>
      <c r="B999" s="1" t="s">
        <v>13</v>
      </c>
      <c r="C999" s="1" t="s">
        <v>22</v>
      </c>
      <c r="D999" s="1" t="s">
        <v>20</v>
      </c>
      <c r="E999" s="1" t="s">
        <v>15</v>
      </c>
      <c r="F999" s="1">
        <v>59</v>
      </c>
      <c r="G999" s="1">
        <v>71</v>
      </c>
      <c r="H999" s="1">
        <v>65</v>
      </c>
    </row>
    <row r="1000" spans="1:8" x14ac:dyDescent="0.3">
      <c r="A1000" s="1" t="s">
        <v>8</v>
      </c>
      <c r="B1000" s="1" t="s">
        <v>21</v>
      </c>
      <c r="C1000" s="1" t="s">
        <v>14</v>
      </c>
      <c r="D1000" s="1" t="s">
        <v>11</v>
      </c>
      <c r="E1000" s="1" t="s">
        <v>15</v>
      </c>
      <c r="F1000" s="1">
        <v>68</v>
      </c>
      <c r="G1000" s="1">
        <v>78</v>
      </c>
      <c r="H1000" s="1">
        <v>77</v>
      </c>
    </row>
    <row r="1001" spans="1:8" x14ac:dyDescent="0.3">
      <c r="A1001" s="1" t="s">
        <v>8</v>
      </c>
      <c r="B1001" s="1" t="s">
        <v>21</v>
      </c>
      <c r="C1001" s="1" t="s">
        <v>14</v>
      </c>
      <c r="D1001" s="1" t="s">
        <v>20</v>
      </c>
      <c r="E1001" s="1" t="s">
        <v>12</v>
      </c>
      <c r="F1001" s="1">
        <v>77</v>
      </c>
      <c r="G1001" s="1">
        <v>86</v>
      </c>
      <c r="H1001" s="1">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6251-49EA-4473-9AC2-143915B67F69}">
  <sheetPr>
    <tabColor rgb="FFFF0000"/>
  </sheetPr>
  <dimension ref="A1:N1001"/>
  <sheetViews>
    <sheetView workbookViewId="0">
      <selection activeCell="N4" sqref="N4"/>
    </sheetView>
  </sheetViews>
  <sheetFormatPr defaultRowHeight="14.4" x14ac:dyDescent="0.3"/>
  <cols>
    <col min="1" max="1" width="6.5546875" bestFit="1" customWidth="1"/>
    <col min="2" max="2" width="12.109375" bestFit="1" customWidth="1"/>
    <col min="3" max="3" width="23.21875" bestFit="1" customWidth="1"/>
    <col min="4" max="4" width="11.5546875" bestFit="1" customWidth="1"/>
    <col min="5" max="5" width="19.77734375" bestFit="1" customWidth="1"/>
    <col min="6" max="6" width="10" bestFit="1" customWidth="1"/>
    <col min="7" max="7" width="11.88671875" bestFit="1" customWidth="1"/>
    <col min="8" max="8" width="11.21875" bestFit="1" customWidth="1"/>
    <col min="9" max="9" width="11.5546875" style="1" bestFit="1" customWidth="1"/>
    <col min="10" max="10" width="18.21875" style="1" bestFit="1" customWidth="1"/>
    <col min="11" max="11" width="11.88671875" style="1" bestFit="1" customWidth="1"/>
    <col min="12" max="12" width="8.88671875" style="1"/>
    <col min="14" max="14" width="21" bestFit="1" customWidth="1"/>
  </cols>
  <sheetData>
    <row r="1" spans="1:14" x14ac:dyDescent="0.3">
      <c r="A1" s="2" t="s">
        <v>0</v>
      </c>
      <c r="B1" s="2" t="s">
        <v>1</v>
      </c>
      <c r="C1" s="2" t="s">
        <v>2</v>
      </c>
      <c r="D1" s="2" t="s">
        <v>3</v>
      </c>
      <c r="E1" s="2" t="s">
        <v>4</v>
      </c>
      <c r="F1" s="2" t="s">
        <v>5</v>
      </c>
      <c r="G1" s="2" t="s">
        <v>6</v>
      </c>
      <c r="H1" s="2" t="s">
        <v>7</v>
      </c>
      <c r="I1" s="4" t="s">
        <v>27</v>
      </c>
      <c r="J1" s="3" t="s">
        <v>28</v>
      </c>
      <c r="K1" s="3" t="s">
        <v>25</v>
      </c>
      <c r="L1" s="3" t="s">
        <v>26</v>
      </c>
    </row>
    <row r="2" spans="1:14" x14ac:dyDescent="0.3">
      <c r="A2" s="5" t="s">
        <v>8</v>
      </c>
      <c r="B2" s="5" t="s">
        <v>13</v>
      </c>
      <c r="C2" s="5" t="s">
        <v>23</v>
      </c>
      <c r="D2" s="5" t="s">
        <v>20</v>
      </c>
      <c r="E2" s="5" t="s">
        <v>12</v>
      </c>
      <c r="F2" s="5">
        <v>0</v>
      </c>
      <c r="G2" s="5">
        <v>17</v>
      </c>
      <c r="H2" s="6">
        <v>10</v>
      </c>
      <c r="I2" s="5">
        <f>SUM(F2:H2)</f>
        <v>27</v>
      </c>
      <c r="J2" s="7">
        <f>AVERAGE(F2:H2)</f>
        <v>9</v>
      </c>
      <c r="K2" s="8">
        <f>I2/300</f>
        <v>0.09</v>
      </c>
      <c r="L2" s="5">
        <f>_xlfn.RANK.EQ(J2,$J$2:$J$1001,0)</f>
        <v>1000</v>
      </c>
    </row>
    <row r="3" spans="1:14" x14ac:dyDescent="0.3">
      <c r="A3" s="5" t="s">
        <v>8</v>
      </c>
      <c r="B3" s="5" t="s">
        <v>9</v>
      </c>
      <c r="C3" s="5" t="s">
        <v>22</v>
      </c>
      <c r="D3" s="5" t="s">
        <v>20</v>
      </c>
      <c r="E3" s="5" t="s">
        <v>12</v>
      </c>
      <c r="F3" s="5">
        <v>8</v>
      </c>
      <c r="G3" s="5">
        <v>24</v>
      </c>
      <c r="H3" s="6">
        <v>23</v>
      </c>
      <c r="I3" s="5">
        <f>SUM(F3:H3)</f>
        <v>55</v>
      </c>
      <c r="J3" s="7">
        <f>AVERAGE(F3:H3)</f>
        <v>18.333333333333332</v>
      </c>
      <c r="K3" s="8">
        <f>I3/300</f>
        <v>0.18333333333333332</v>
      </c>
      <c r="L3" s="5">
        <f>_xlfn.RANK.EQ(J3,$J$2:$J$1001,0)</f>
        <v>999</v>
      </c>
      <c r="N3" s="12" t="s">
        <v>33</v>
      </c>
    </row>
    <row r="4" spans="1:14" x14ac:dyDescent="0.3">
      <c r="A4" s="5" t="s">
        <v>17</v>
      </c>
      <c r="B4" s="5" t="s">
        <v>9</v>
      </c>
      <c r="C4" s="5" t="s">
        <v>22</v>
      </c>
      <c r="D4" s="5" t="s">
        <v>20</v>
      </c>
      <c r="E4" s="5" t="s">
        <v>12</v>
      </c>
      <c r="F4" s="5">
        <v>30</v>
      </c>
      <c r="G4" s="5">
        <v>24</v>
      </c>
      <c r="H4" s="6">
        <v>15</v>
      </c>
      <c r="I4" s="5">
        <f>SUM(F4:H4)</f>
        <v>69</v>
      </c>
      <c r="J4" s="7">
        <f>AVERAGE(F4:H4)</f>
        <v>23</v>
      </c>
      <c r="K4" s="8">
        <f>I4/300</f>
        <v>0.23</v>
      </c>
      <c r="L4" s="5">
        <f>_xlfn.RANK.EQ(J4,$J$2:$J$1001,0)</f>
        <v>998</v>
      </c>
      <c r="N4" s="12">
        <f>COUNTA(A2:A1001)</f>
        <v>1000</v>
      </c>
    </row>
    <row r="5" spans="1:14" x14ac:dyDescent="0.3">
      <c r="A5" s="5" t="s">
        <v>17</v>
      </c>
      <c r="B5" s="5" t="s">
        <v>18</v>
      </c>
      <c r="C5" s="5" t="s">
        <v>14</v>
      </c>
      <c r="D5" s="5" t="s">
        <v>20</v>
      </c>
      <c r="E5" s="5" t="s">
        <v>12</v>
      </c>
      <c r="F5" s="5">
        <v>28</v>
      </c>
      <c r="G5" s="5">
        <v>23</v>
      </c>
      <c r="H5" s="6">
        <v>19</v>
      </c>
      <c r="I5" s="5">
        <f>SUM(F5:H5)</f>
        <v>70</v>
      </c>
      <c r="J5" s="7">
        <f>AVERAGE(F5:H5)</f>
        <v>23.333333333333332</v>
      </c>
      <c r="K5" s="8">
        <f>I5/300</f>
        <v>0.23333333333333334</v>
      </c>
      <c r="L5" s="5">
        <f>_xlfn.RANK.EQ(J5,$J$2:$J$1001,0)</f>
        <v>997</v>
      </c>
    </row>
    <row r="6" spans="1:14" x14ac:dyDescent="0.3">
      <c r="A6" s="5" t="s">
        <v>8</v>
      </c>
      <c r="B6" s="5" t="s">
        <v>9</v>
      </c>
      <c r="C6" s="5" t="s">
        <v>23</v>
      </c>
      <c r="D6" s="5" t="s">
        <v>20</v>
      </c>
      <c r="E6" s="5" t="s">
        <v>12</v>
      </c>
      <c r="F6" s="5">
        <v>18</v>
      </c>
      <c r="G6" s="5">
        <v>32</v>
      </c>
      <c r="H6" s="6">
        <v>28</v>
      </c>
      <c r="I6" s="5">
        <f>SUM(F6:H6)</f>
        <v>78</v>
      </c>
      <c r="J6" s="7">
        <f>AVERAGE(F6:H6)</f>
        <v>26</v>
      </c>
      <c r="K6" s="8">
        <f>I6/300</f>
        <v>0.26</v>
      </c>
      <c r="L6" s="5">
        <f>_xlfn.RANK.EQ(J6,$J$2:$J$1001,0)</f>
        <v>995</v>
      </c>
      <c r="N6" s="5" t="s">
        <v>34</v>
      </c>
    </row>
    <row r="7" spans="1:14" x14ac:dyDescent="0.3">
      <c r="A7" s="5" t="s">
        <v>17</v>
      </c>
      <c r="B7" s="5" t="s">
        <v>24</v>
      </c>
      <c r="C7" s="5" t="s">
        <v>23</v>
      </c>
      <c r="D7" s="5" t="s">
        <v>11</v>
      </c>
      <c r="E7" s="5" t="s">
        <v>12</v>
      </c>
      <c r="F7" s="5">
        <v>30</v>
      </c>
      <c r="G7" s="5">
        <v>26</v>
      </c>
      <c r="H7" s="6">
        <v>22</v>
      </c>
      <c r="I7" s="5">
        <f>SUM(F7:H7)</f>
        <v>78</v>
      </c>
      <c r="J7" s="7">
        <f>AVERAGE(F7:H7)</f>
        <v>26</v>
      </c>
      <c r="K7" s="8">
        <f>I7/300</f>
        <v>0.26</v>
      </c>
      <c r="L7" s="5">
        <f>_xlfn.RANK.EQ(J7,$J$2:$J$1001,0)</f>
        <v>995</v>
      </c>
      <c r="N7" s="13">
        <f>MAX(J2:J1001)</f>
        <v>100</v>
      </c>
    </row>
    <row r="8" spans="1:14" x14ac:dyDescent="0.3">
      <c r="A8" s="5" t="s">
        <v>8</v>
      </c>
      <c r="B8" s="5" t="s">
        <v>13</v>
      </c>
      <c r="C8" s="5" t="s">
        <v>22</v>
      </c>
      <c r="D8" s="5" t="s">
        <v>11</v>
      </c>
      <c r="E8" s="5" t="s">
        <v>12</v>
      </c>
      <c r="F8" s="5">
        <v>29</v>
      </c>
      <c r="G8" s="5">
        <v>29</v>
      </c>
      <c r="H8" s="6">
        <v>30</v>
      </c>
      <c r="I8" s="5">
        <f>SUM(F8:H8)</f>
        <v>88</v>
      </c>
      <c r="J8" s="7">
        <f>AVERAGE(F8:H8)</f>
        <v>29.333333333333332</v>
      </c>
      <c r="K8" s="8">
        <f>I8/300</f>
        <v>0.29333333333333333</v>
      </c>
      <c r="L8" s="5">
        <f>_xlfn.RANK.EQ(J8,$J$2:$J$1001,0)</f>
        <v>994</v>
      </c>
    </row>
    <row r="9" spans="1:14" x14ac:dyDescent="0.3">
      <c r="A9" s="5" t="s">
        <v>8</v>
      </c>
      <c r="B9" s="5" t="s">
        <v>9</v>
      </c>
      <c r="C9" s="5" t="s">
        <v>23</v>
      </c>
      <c r="D9" s="5" t="s">
        <v>20</v>
      </c>
      <c r="E9" s="5" t="s">
        <v>12</v>
      </c>
      <c r="F9" s="5">
        <v>24</v>
      </c>
      <c r="G9" s="5">
        <v>38</v>
      </c>
      <c r="H9" s="6">
        <v>27</v>
      </c>
      <c r="I9" s="5">
        <f>SUM(F9:H9)</f>
        <v>89</v>
      </c>
      <c r="J9" s="7">
        <f>AVERAGE(F9:H9)</f>
        <v>29.666666666666668</v>
      </c>
      <c r="K9" s="8">
        <f>I9/300</f>
        <v>0.29666666666666669</v>
      </c>
      <c r="L9" s="5">
        <f>_xlfn.RANK.EQ(J9,$J$2:$J$1001,0)</f>
        <v>992</v>
      </c>
      <c r="N9" s="5" t="s">
        <v>35</v>
      </c>
    </row>
    <row r="10" spans="1:14" x14ac:dyDescent="0.3">
      <c r="A10" s="5" t="s">
        <v>8</v>
      </c>
      <c r="B10" s="5" t="s">
        <v>9</v>
      </c>
      <c r="C10" s="5" t="s">
        <v>14</v>
      </c>
      <c r="D10" s="5" t="s">
        <v>11</v>
      </c>
      <c r="E10" s="5" t="s">
        <v>12</v>
      </c>
      <c r="F10" s="5">
        <v>19</v>
      </c>
      <c r="G10" s="5">
        <v>38</v>
      </c>
      <c r="H10" s="6">
        <v>32</v>
      </c>
      <c r="I10" s="5">
        <f>SUM(F10:H10)</f>
        <v>89</v>
      </c>
      <c r="J10" s="7">
        <f>AVERAGE(F10:H10)</f>
        <v>29.666666666666668</v>
      </c>
      <c r="K10" s="8">
        <f>I10/300</f>
        <v>0.29666666666666669</v>
      </c>
      <c r="L10" s="5">
        <f>_xlfn.RANK.EQ(J10,$J$2:$J$1001,0)</f>
        <v>992</v>
      </c>
      <c r="N10" s="13">
        <f>MIN(J2:J1001)</f>
        <v>9</v>
      </c>
    </row>
    <row r="11" spans="1:14" x14ac:dyDescent="0.3">
      <c r="A11" s="5" t="s">
        <v>17</v>
      </c>
      <c r="B11" s="5" t="s">
        <v>13</v>
      </c>
      <c r="C11" s="5" t="s">
        <v>14</v>
      </c>
      <c r="D11" s="5" t="s">
        <v>20</v>
      </c>
      <c r="E11" s="5" t="s">
        <v>12</v>
      </c>
      <c r="F11" s="5">
        <v>35</v>
      </c>
      <c r="G11" s="5">
        <v>28</v>
      </c>
      <c r="H11" s="6">
        <v>27</v>
      </c>
      <c r="I11" s="5">
        <f>SUM(F11:H11)</f>
        <v>90</v>
      </c>
      <c r="J11" s="7">
        <f>AVERAGE(F11:H11)</f>
        <v>30</v>
      </c>
      <c r="K11" s="8">
        <f>I11/300</f>
        <v>0.3</v>
      </c>
      <c r="L11" s="5">
        <f>_xlfn.RANK.EQ(J11,$J$2:$J$1001,0)</f>
        <v>991</v>
      </c>
    </row>
    <row r="12" spans="1:14" x14ac:dyDescent="0.3">
      <c r="A12" s="5" t="s">
        <v>17</v>
      </c>
      <c r="B12" s="5" t="s">
        <v>9</v>
      </c>
      <c r="C12" s="5" t="s">
        <v>22</v>
      </c>
      <c r="D12" s="5" t="s">
        <v>20</v>
      </c>
      <c r="E12" s="5" t="s">
        <v>12</v>
      </c>
      <c r="F12" s="5">
        <v>36</v>
      </c>
      <c r="G12" s="5">
        <v>29</v>
      </c>
      <c r="H12" s="6">
        <v>27</v>
      </c>
      <c r="I12" s="5">
        <f>SUM(F12:H12)</f>
        <v>92</v>
      </c>
      <c r="J12" s="7">
        <f>AVERAGE(F12:H12)</f>
        <v>30.666666666666668</v>
      </c>
      <c r="K12" s="8">
        <f>I12/300</f>
        <v>0.30666666666666664</v>
      </c>
      <c r="L12" s="5">
        <f>_xlfn.RANK.EQ(J12,$J$2:$J$1001,0)</f>
        <v>990</v>
      </c>
      <c r="N12" s="5" t="s">
        <v>36</v>
      </c>
    </row>
    <row r="13" spans="1:14" x14ac:dyDescent="0.3">
      <c r="A13" s="5" t="s">
        <v>8</v>
      </c>
      <c r="B13" s="5" t="s">
        <v>21</v>
      </c>
      <c r="C13" s="5" t="s">
        <v>23</v>
      </c>
      <c r="D13" s="5" t="s">
        <v>20</v>
      </c>
      <c r="E13" s="5" t="s">
        <v>12</v>
      </c>
      <c r="F13" s="5">
        <v>27</v>
      </c>
      <c r="G13" s="5">
        <v>34</v>
      </c>
      <c r="H13" s="6">
        <v>32</v>
      </c>
      <c r="I13" s="5">
        <f>SUM(F13:H13)</f>
        <v>93</v>
      </c>
      <c r="J13" s="7">
        <f>AVERAGE(F13:H13)</f>
        <v>31</v>
      </c>
      <c r="K13" s="8">
        <f>I13/300</f>
        <v>0.31</v>
      </c>
      <c r="L13" s="5">
        <f>_xlfn.RANK.EQ(J13,$J$2:$J$1001,0)</f>
        <v>989</v>
      </c>
      <c r="N13" s="7">
        <f>AVERAGE(J2:J1001)</f>
        <v>67.770666666666742</v>
      </c>
    </row>
    <row r="14" spans="1:14" x14ac:dyDescent="0.3">
      <c r="A14" s="5" t="s">
        <v>8</v>
      </c>
      <c r="B14" s="5" t="s">
        <v>13</v>
      </c>
      <c r="C14" s="5" t="s">
        <v>14</v>
      </c>
      <c r="D14" s="5" t="s">
        <v>20</v>
      </c>
      <c r="E14" s="5" t="s">
        <v>12</v>
      </c>
      <c r="F14" s="5">
        <v>22</v>
      </c>
      <c r="G14" s="5">
        <v>39</v>
      </c>
      <c r="H14" s="6">
        <v>33</v>
      </c>
      <c r="I14" s="5">
        <f>SUM(F14:H14)</f>
        <v>94</v>
      </c>
      <c r="J14" s="7">
        <f>AVERAGE(F14:H14)</f>
        <v>31.333333333333332</v>
      </c>
      <c r="K14" s="8">
        <f>I14/300</f>
        <v>0.31333333333333335</v>
      </c>
      <c r="L14" s="5">
        <f>_xlfn.RANK.EQ(J14,$J$2:$J$1001,0)</f>
        <v>988</v>
      </c>
    </row>
    <row r="15" spans="1:14" x14ac:dyDescent="0.3">
      <c r="A15" s="5" t="s">
        <v>8</v>
      </c>
      <c r="B15" s="5" t="s">
        <v>21</v>
      </c>
      <c r="C15" s="5" t="s">
        <v>19</v>
      </c>
      <c r="D15" s="5" t="s">
        <v>20</v>
      </c>
      <c r="E15" s="5" t="s">
        <v>12</v>
      </c>
      <c r="F15" s="5">
        <v>26</v>
      </c>
      <c r="G15" s="5">
        <v>31</v>
      </c>
      <c r="H15" s="6">
        <v>38</v>
      </c>
      <c r="I15" s="5">
        <f>SUM(F15:H15)</f>
        <v>95</v>
      </c>
      <c r="J15" s="7">
        <f>AVERAGE(F15:H15)</f>
        <v>31.666666666666668</v>
      </c>
      <c r="K15" s="8">
        <f>I15/300</f>
        <v>0.31666666666666665</v>
      </c>
      <c r="L15" s="5">
        <f>_xlfn.RANK.EQ(J15,$J$2:$J$1001,0)</f>
        <v>987</v>
      </c>
    </row>
    <row r="16" spans="1:14" x14ac:dyDescent="0.3">
      <c r="A16" s="5" t="s">
        <v>17</v>
      </c>
      <c r="B16" s="5" t="s">
        <v>13</v>
      </c>
      <c r="C16" s="5" t="s">
        <v>22</v>
      </c>
      <c r="D16" s="5" t="s">
        <v>20</v>
      </c>
      <c r="E16" s="5" t="s">
        <v>12</v>
      </c>
      <c r="F16" s="5">
        <v>27</v>
      </c>
      <c r="G16" s="5">
        <v>34</v>
      </c>
      <c r="H16" s="6">
        <v>36</v>
      </c>
      <c r="I16" s="5">
        <f>SUM(F16:H16)</f>
        <v>97</v>
      </c>
      <c r="J16" s="7">
        <f>AVERAGE(F16:H16)</f>
        <v>32.333333333333336</v>
      </c>
      <c r="K16" s="8">
        <f>I16/300</f>
        <v>0.32333333333333331</v>
      </c>
      <c r="L16" s="5">
        <f>_xlfn.RANK.EQ(J16,$J$2:$J$1001,0)</f>
        <v>986</v>
      </c>
    </row>
    <row r="17" spans="1:12" x14ac:dyDescent="0.3">
      <c r="A17" s="5" t="s">
        <v>8</v>
      </c>
      <c r="B17" s="5" t="s">
        <v>9</v>
      </c>
      <c r="C17" s="5" t="s">
        <v>22</v>
      </c>
      <c r="D17" s="5" t="s">
        <v>20</v>
      </c>
      <c r="E17" s="5" t="s">
        <v>15</v>
      </c>
      <c r="F17" s="5">
        <v>23</v>
      </c>
      <c r="G17" s="5">
        <v>44</v>
      </c>
      <c r="H17" s="6">
        <v>36</v>
      </c>
      <c r="I17" s="5">
        <f>SUM(F17:H17)</f>
        <v>103</v>
      </c>
      <c r="J17" s="7">
        <f>AVERAGE(F17:H17)</f>
        <v>34.333333333333336</v>
      </c>
      <c r="K17" s="8">
        <f>I17/300</f>
        <v>0.34333333333333332</v>
      </c>
      <c r="L17" s="5">
        <f>_xlfn.RANK.EQ(J17,$J$2:$J$1001,0)</f>
        <v>985</v>
      </c>
    </row>
    <row r="18" spans="1:12" x14ac:dyDescent="0.3">
      <c r="A18" s="5" t="s">
        <v>8</v>
      </c>
      <c r="B18" s="5" t="s">
        <v>13</v>
      </c>
      <c r="C18" s="5" t="s">
        <v>14</v>
      </c>
      <c r="D18" s="5" t="s">
        <v>20</v>
      </c>
      <c r="E18" s="5" t="s">
        <v>12</v>
      </c>
      <c r="F18" s="5">
        <v>32</v>
      </c>
      <c r="G18" s="5">
        <v>39</v>
      </c>
      <c r="H18" s="6">
        <v>33</v>
      </c>
      <c r="I18" s="5">
        <f>SUM(F18:H18)</f>
        <v>104</v>
      </c>
      <c r="J18" s="7">
        <f>AVERAGE(F18:H18)</f>
        <v>34.666666666666664</v>
      </c>
      <c r="K18" s="8">
        <f>I18/300</f>
        <v>0.34666666666666668</v>
      </c>
      <c r="L18" s="5">
        <f>_xlfn.RANK.EQ(J18,$J$2:$J$1001,0)</f>
        <v>983</v>
      </c>
    </row>
    <row r="19" spans="1:12" x14ac:dyDescent="0.3">
      <c r="A19" s="5" t="s">
        <v>8</v>
      </c>
      <c r="B19" s="5" t="s">
        <v>24</v>
      </c>
      <c r="C19" s="5" t="s">
        <v>23</v>
      </c>
      <c r="D19" s="5" t="s">
        <v>20</v>
      </c>
      <c r="E19" s="5" t="s">
        <v>12</v>
      </c>
      <c r="F19" s="5">
        <v>32</v>
      </c>
      <c r="G19" s="5">
        <v>34</v>
      </c>
      <c r="H19" s="6">
        <v>38</v>
      </c>
      <c r="I19" s="5">
        <f>SUM(F19:H19)</f>
        <v>104</v>
      </c>
      <c r="J19" s="7">
        <f>AVERAGE(F19:H19)</f>
        <v>34.666666666666664</v>
      </c>
      <c r="K19" s="8">
        <f>I19/300</f>
        <v>0.34666666666666668</v>
      </c>
      <c r="L19" s="5">
        <f>_xlfn.RANK.EQ(J19,$J$2:$J$1001,0)</f>
        <v>983</v>
      </c>
    </row>
    <row r="20" spans="1:12" x14ac:dyDescent="0.3">
      <c r="A20" s="5" t="s">
        <v>17</v>
      </c>
      <c r="B20" s="5" t="s">
        <v>18</v>
      </c>
      <c r="C20" s="5" t="s">
        <v>23</v>
      </c>
      <c r="D20" s="5" t="s">
        <v>20</v>
      </c>
      <c r="E20" s="5" t="s">
        <v>12</v>
      </c>
      <c r="F20" s="5">
        <v>39</v>
      </c>
      <c r="G20" s="5">
        <v>39</v>
      </c>
      <c r="H20" s="6">
        <v>34</v>
      </c>
      <c r="I20" s="5">
        <f>SUM(F20:H20)</f>
        <v>112</v>
      </c>
      <c r="J20" s="7">
        <f>AVERAGE(F20:H20)</f>
        <v>37.333333333333336</v>
      </c>
      <c r="K20" s="8">
        <f>I20/300</f>
        <v>0.37333333333333335</v>
      </c>
      <c r="L20" s="5">
        <f>_xlfn.RANK.EQ(J20,$J$2:$J$1001,0)</f>
        <v>982</v>
      </c>
    </row>
    <row r="21" spans="1:12" x14ac:dyDescent="0.3">
      <c r="A21" s="5" t="s">
        <v>8</v>
      </c>
      <c r="B21" s="5" t="s">
        <v>13</v>
      </c>
      <c r="C21" s="5" t="s">
        <v>23</v>
      </c>
      <c r="D21" s="5" t="s">
        <v>20</v>
      </c>
      <c r="E21" s="5" t="s">
        <v>15</v>
      </c>
      <c r="F21" s="5">
        <v>29</v>
      </c>
      <c r="G21" s="5">
        <v>40</v>
      </c>
      <c r="H21" s="6">
        <v>44</v>
      </c>
      <c r="I21" s="5">
        <f>SUM(F21:H21)</f>
        <v>113</v>
      </c>
      <c r="J21" s="7">
        <f>AVERAGE(F21:H21)</f>
        <v>37.666666666666664</v>
      </c>
      <c r="K21" s="8">
        <f>I21/300</f>
        <v>0.37666666666666665</v>
      </c>
      <c r="L21" s="5">
        <f>_xlfn.RANK.EQ(J21,$J$2:$J$1001,0)</f>
        <v>981</v>
      </c>
    </row>
    <row r="22" spans="1:12" x14ac:dyDescent="0.3">
      <c r="A22" s="5" t="s">
        <v>17</v>
      </c>
      <c r="B22" s="5" t="s">
        <v>9</v>
      </c>
      <c r="C22" s="5" t="s">
        <v>14</v>
      </c>
      <c r="D22" s="5" t="s">
        <v>20</v>
      </c>
      <c r="E22" s="5" t="s">
        <v>12</v>
      </c>
      <c r="F22" s="5">
        <v>41</v>
      </c>
      <c r="G22" s="5">
        <v>39</v>
      </c>
      <c r="H22" s="6">
        <v>34</v>
      </c>
      <c r="I22" s="5">
        <f>SUM(F22:H22)</f>
        <v>114</v>
      </c>
      <c r="J22" s="7">
        <f>AVERAGE(F22:H22)</f>
        <v>38</v>
      </c>
      <c r="K22" s="8">
        <f>I22/300</f>
        <v>0.38</v>
      </c>
      <c r="L22" s="5">
        <f>_xlfn.RANK.EQ(J22,$J$2:$J$1001,0)</f>
        <v>980</v>
      </c>
    </row>
    <row r="23" spans="1:12" x14ac:dyDescent="0.3">
      <c r="A23" s="5" t="s">
        <v>17</v>
      </c>
      <c r="B23" s="5" t="s">
        <v>21</v>
      </c>
      <c r="C23" s="5" t="s">
        <v>22</v>
      </c>
      <c r="D23" s="5" t="s">
        <v>20</v>
      </c>
      <c r="E23" s="5" t="s">
        <v>12</v>
      </c>
      <c r="F23" s="5">
        <v>42</v>
      </c>
      <c r="G23" s="5">
        <v>39</v>
      </c>
      <c r="H23" s="6">
        <v>34</v>
      </c>
      <c r="I23" s="5">
        <f>SUM(F23:H23)</f>
        <v>115</v>
      </c>
      <c r="J23" s="7">
        <f>AVERAGE(F23:H23)</f>
        <v>38.333333333333336</v>
      </c>
      <c r="K23" s="8">
        <f>I23/300</f>
        <v>0.38333333333333336</v>
      </c>
      <c r="L23" s="5">
        <f>_xlfn.RANK.EQ(J23,$J$2:$J$1001,0)</f>
        <v>978</v>
      </c>
    </row>
    <row r="24" spans="1:12" x14ac:dyDescent="0.3">
      <c r="A24" s="5" t="s">
        <v>8</v>
      </c>
      <c r="B24" s="5" t="s">
        <v>13</v>
      </c>
      <c r="C24" s="5" t="s">
        <v>22</v>
      </c>
      <c r="D24" s="5" t="s">
        <v>20</v>
      </c>
      <c r="E24" s="5" t="s">
        <v>12</v>
      </c>
      <c r="F24" s="5">
        <v>34</v>
      </c>
      <c r="G24" s="5">
        <v>42</v>
      </c>
      <c r="H24" s="6">
        <v>39</v>
      </c>
      <c r="I24" s="5">
        <f>SUM(F24:H24)</f>
        <v>115</v>
      </c>
      <c r="J24" s="7">
        <f>AVERAGE(F24:H24)</f>
        <v>38.333333333333336</v>
      </c>
      <c r="K24" s="8">
        <f>I24/300</f>
        <v>0.38333333333333336</v>
      </c>
      <c r="L24" s="5">
        <f>_xlfn.RANK.EQ(J24,$J$2:$J$1001,0)</f>
        <v>978</v>
      </c>
    </row>
    <row r="25" spans="1:12" x14ac:dyDescent="0.3">
      <c r="A25" s="5" t="s">
        <v>17</v>
      </c>
      <c r="B25" s="5" t="s">
        <v>21</v>
      </c>
      <c r="C25" s="5" t="s">
        <v>22</v>
      </c>
      <c r="D25" s="5" t="s">
        <v>11</v>
      </c>
      <c r="E25" s="5" t="s">
        <v>12</v>
      </c>
      <c r="F25" s="5">
        <v>46</v>
      </c>
      <c r="G25" s="5">
        <v>34</v>
      </c>
      <c r="H25" s="6">
        <v>36</v>
      </c>
      <c r="I25" s="5">
        <f>SUM(F25:H25)</f>
        <v>116</v>
      </c>
      <c r="J25" s="7">
        <f>AVERAGE(F25:H25)</f>
        <v>38.666666666666664</v>
      </c>
      <c r="K25" s="8">
        <f>I25/300</f>
        <v>0.38666666666666666</v>
      </c>
      <c r="L25" s="5">
        <f>_xlfn.RANK.EQ(J25,$J$2:$J$1001,0)</f>
        <v>977</v>
      </c>
    </row>
    <row r="26" spans="1:12" x14ac:dyDescent="0.3">
      <c r="A26" s="5" t="s">
        <v>8</v>
      </c>
      <c r="B26" s="5" t="s">
        <v>13</v>
      </c>
      <c r="C26" s="5" t="s">
        <v>22</v>
      </c>
      <c r="D26" s="5" t="s">
        <v>20</v>
      </c>
      <c r="E26" s="5" t="s">
        <v>12</v>
      </c>
      <c r="F26" s="5">
        <v>33</v>
      </c>
      <c r="G26" s="5">
        <v>41</v>
      </c>
      <c r="H26" s="6">
        <v>43</v>
      </c>
      <c r="I26" s="5">
        <f>SUM(F26:H26)</f>
        <v>117</v>
      </c>
      <c r="J26" s="7">
        <f>AVERAGE(F26:H26)</f>
        <v>39</v>
      </c>
      <c r="K26" s="8">
        <f>I26/300</f>
        <v>0.39</v>
      </c>
      <c r="L26" s="5">
        <f>_xlfn.RANK.EQ(J26,$J$2:$J$1001,0)</f>
        <v>975</v>
      </c>
    </row>
    <row r="27" spans="1:12" x14ac:dyDescent="0.3">
      <c r="A27" s="5" t="s">
        <v>8</v>
      </c>
      <c r="B27" s="5" t="s">
        <v>21</v>
      </c>
      <c r="C27" s="5" t="s">
        <v>10</v>
      </c>
      <c r="D27" s="5" t="s">
        <v>20</v>
      </c>
      <c r="E27" s="5" t="s">
        <v>12</v>
      </c>
      <c r="F27" s="5">
        <v>29</v>
      </c>
      <c r="G27" s="5">
        <v>41</v>
      </c>
      <c r="H27" s="6">
        <v>47</v>
      </c>
      <c r="I27" s="5">
        <f>SUM(F27:H27)</f>
        <v>117</v>
      </c>
      <c r="J27" s="7">
        <f>AVERAGE(F27:H27)</f>
        <v>39</v>
      </c>
      <c r="K27" s="8">
        <f>I27/300</f>
        <v>0.39</v>
      </c>
      <c r="L27" s="5">
        <f>_xlfn.RANK.EQ(J27,$J$2:$J$1001,0)</f>
        <v>975</v>
      </c>
    </row>
    <row r="28" spans="1:12" x14ac:dyDescent="0.3">
      <c r="A28" s="5" t="s">
        <v>17</v>
      </c>
      <c r="B28" s="5" t="s">
        <v>18</v>
      </c>
      <c r="C28" s="5" t="s">
        <v>23</v>
      </c>
      <c r="D28" s="5" t="s">
        <v>11</v>
      </c>
      <c r="E28" s="5" t="s">
        <v>12</v>
      </c>
      <c r="F28" s="5">
        <v>51</v>
      </c>
      <c r="G28" s="5">
        <v>31</v>
      </c>
      <c r="H28" s="6">
        <v>36</v>
      </c>
      <c r="I28" s="5">
        <f>SUM(F28:H28)</f>
        <v>118</v>
      </c>
      <c r="J28" s="7">
        <f>AVERAGE(F28:H28)</f>
        <v>39.333333333333336</v>
      </c>
      <c r="K28" s="8">
        <f>I28/300</f>
        <v>0.39333333333333331</v>
      </c>
      <c r="L28" s="5">
        <f>_xlfn.RANK.EQ(J28,$J$2:$J$1001,0)</f>
        <v>974</v>
      </c>
    </row>
    <row r="29" spans="1:12" x14ac:dyDescent="0.3">
      <c r="A29" s="5" t="s">
        <v>17</v>
      </c>
      <c r="B29" s="5" t="s">
        <v>21</v>
      </c>
      <c r="C29" s="5" t="s">
        <v>23</v>
      </c>
      <c r="D29" s="5" t="s">
        <v>20</v>
      </c>
      <c r="E29" s="5" t="s">
        <v>12</v>
      </c>
      <c r="F29" s="5">
        <v>45</v>
      </c>
      <c r="G29" s="5">
        <v>37</v>
      </c>
      <c r="H29" s="6">
        <v>37</v>
      </c>
      <c r="I29" s="5">
        <f>SUM(F29:H29)</f>
        <v>119</v>
      </c>
      <c r="J29" s="7">
        <f>AVERAGE(F29:H29)</f>
        <v>39.666666666666664</v>
      </c>
      <c r="K29" s="8">
        <f>I29/300</f>
        <v>0.39666666666666667</v>
      </c>
      <c r="L29" s="5">
        <f>_xlfn.RANK.EQ(J29,$J$2:$J$1001,0)</f>
        <v>971</v>
      </c>
    </row>
    <row r="30" spans="1:12" x14ac:dyDescent="0.3">
      <c r="A30" s="5" t="s">
        <v>17</v>
      </c>
      <c r="B30" s="5" t="s">
        <v>13</v>
      </c>
      <c r="C30" s="5" t="s">
        <v>19</v>
      </c>
      <c r="D30" s="5" t="s">
        <v>11</v>
      </c>
      <c r="E30" s="5" t="s">
        <v>12</v>
      </c>
      <c r="F30" s="5">
        <v>47</v>
      </c>
      <c r="G30" s="5">
        <v>37</v>
      </c>
      <c r="H30" s="6">
        <v>35</v>
      </c>
      <c r="I30" s="5">
        <f>SUM(F30:H30)</f>
        <v>119</v>
      </c>
      <c r="J30" s="7">
        <f>AVERAGE(F30:H30)</f>
        <v>39.666666666666664</v>
      </c>
      <c r="K30" s="8">
        <f>I30/300</f>
        <v>0.39666666666666667</v>
      </c>
      <c r="L30" s="5">
        <f>_xlfn.RANK.EQ(J30,$J$2:$J$1001,0)</f>
        <v>971</v>
      </c>
    </row>
    <row r="31" spans="1:12" x14ac:dyDescent="0.3">
      <c r="A31" s="5" t="s">
        <v>17</v>
      </c>
      <c r="B31" s="5" t="s">
        <v>21</v>
      </c>
      <c r="C31" s="5" t="s">
        <v>10</v>
      </c>
      <c r="D31" s="5" t="s">
        <v>20</v>
      </c>
      <c r="E31" s="5" t="s">
        <v>15</v>
      </c>
      <c r="F31" s="5">
        <v>39</v>
      </c>
      <c r="G31" s="5">
        <v>42</v>
      </c>
      <c r="H31" s="6">
        <v>38</v>
      </c>
      <c r="I31" s="5">
        <f>SUM(F31:H31)</f>
        <v>119</v>
      </c>
      <c r="J31" s="7">
        <f>AVERAGE(F31:H31)</f>
        <v>39.666666666666664</v>
      </c>
      <c r="K31" s="8">
        <f>I31/300</f>
        <v>0.39666666666666667</v>
      </c>
      <c r="L31" s="5">
        <f>_xlfn.RANK.EQ(J31,$J$2:$J$1001,0)</f>
        <v>971</v>
      </c>
    </row>
    <row r="32" spans="1:12" x14ac:dyDescent="0.3">
      <c r="A32" s="5" t="s">
        <v>17</v>
      </c>
      <c r="B32" s="5" t="s">
        <v>21</v>
      </c>
      <c r="C32" s="5" t="s">
        <v>14</v>
      </c>
      <c r="D32" s="5" t="s">
        <v>11</v>
      </c>
      <c r="E32" s="5" t="s">
        <v>12</v>
      </c>
      <c r="F32" s="5">
        <v>40</v>
      </c>
      <c r="G32" s="5">
        <v>42</v>
      </c>
      <c r="H32" s="6">
        <v>38</v>
      </c>
      <c r="I32" s="5">
        <f>SUM(F32:H32)</f>
        <v>120</v>
      </c>
      <c r="J32" s="7">
        <f>AVERAGE(F32:H32)</f>
        <v>40</v>
      </c>
      <c r="K32" s="8">
        <f>I32/300</f>
        <v>0.4</v>
      </c>
      <c r="L32" s="5">
        <f>_xlfn.RANK.EQ(J32,$J$2:$J$1001,0)</f>
        <v>969</v>
      </c>
    </row>
    <row r="33" spans="1:12" x14ac:dyDescent="0.3">
      <c r="A33" s="5" t="s">
        <v>8</v>
      </c>
      <c r="B33" s="5" t="s">
        <v>24</v>
      </c>
      <c r="C33" s="5" t="s">
        <v>10</v>
      </c>
      <c r="D33" s="5" t="s">
        <v>11</v>
      </c>
      <c r="E33" s="5" t="s">
        <v>12</v>
      </c>
      <c r="F33" s="5">
        <v>37</v>
      </c>
      <c r="G33" s="5">
        <v>45</v>
      </c>
      <c r="H33" s="6">
        <v>38</v>
      </c>
      <c r="I33" s="5">
        <f>SUM(F33:H33)</f>
        <v>120</v>
      </c>
      <c r="J33" s="7">
        <f>AVERAGE(F33:H33)</f>
        <v>40</v>
      </c>
      <c r="K33" s="8">
        <f>I33/300</f>
        <v>0.4</v>
      </c>
      <c r="L33" s="5">
        <f>_xlfn.RANK.EQ(J33,$J$2:$J$1001,0)</f>
        <v>969</v>
      </c>
    </row>
    <row r="34" spans="1:12" x14ac:dyDescent="0.3">
      <c r="A34" s="5" t="s">
        <v>17</v>
      </c>
      <c r="B34" s="5" t="s">
        <v>9</v>
      </c>
      <c r="C34" s="5" t="s">
        <v>14</v>
      </c>
      <c r="D34" s="5" t="s">
        <v>20</v>
      </c>
      <c r="E34" s="5" t="s">
        <v>12</v>
      </c>
      <c r="F34" s="5">
        <v>40</v>
      </c>
      <c r="G34" s="5">
        <v>43</v>
      </c>
      <c r="H34" s="6">
        <v>39</v>
      </c>
      <c r="I34" s="5">
        <f>SUM(F34:H34)</f>
        <v>122</v>
      </c>
      <c r="J34" s="7">
        <f>AVERAGE(F34:H34)</f>
        <v>40.666666666666664</v>
      </c>
      <c r="K34" s="8">
        <f>I34/300</f>
        <v>0.40666666666666668</v>
      </c>
      <c r="L34" s="5">
        <f>_xlfn.RANK.EQ(J34,$J$2:$J$1001,0)</f>
        <v>967</v>
      </c>
    </row>
    <row r="35" spans="1:12" x14ac:dyDescent="0.3">
      <c r="A35" s="5" t="s">
        <v>8</v>
      </c>
      <c r="B35" s="5" t="s">
        <v>13</v>
      </c>
      <c r="C35" s="5" t="s">
        <v>14</v>
      </c>
      <c r="D35" s="5" t="s">
        <v>20</v>
      </c>
      <c r="E35" s="5" t="s">
        <v>12</v>
      </c>
      <c r="F35" s="5">
        <v>35</v>
      </c>
      <c r="G35" s="5">
        <v>44</v>
      </c>
      <c r="H35" s="6">
        <v>43</v>
      </c>
      <c r="I35" s="5">
        <f>SUM(F35:H35)</f>
        <v>122</v>
      </c>
      <c r="J35" s="7">
        <f>AVERAGE(F35:H35)</f>
        <v>40.666666666666664</v>
      </c>
      <c r="K35" s="8">
        <f>I35/300</f>
        <v>0.40666666666666668</v>
      </c>
      <c r="L35" s="5">
        <f>_xlfn.RANK.EQ(J35,$J$2:$J$1001,0)</f>
        <v>967</v>
      </c>
    </row>
    <row r="36" spans="1:12" x14ac:dyDescent="0.3">
      <c r="A36" s="5" t="s">
        <v>17</v>
      </c>
      <c r="B36" s="5" t="s">
        <v>9</v>
      </c>
      <c r="C36" s="5" t="s">
        <v>19</v>
      </c>
      <c r="D36" s="5" t="s">
        <v>20</v>
      </c>
      <c r="E36" s="5" t="s">
        <v>12</v>
      </c>
      <c r="F36" s="5">
        <v>44</v>
      </c>
      <c r="G36" s="5">
        <v>41</v>
      </c>
      <c r="H36" s="6">
        <v>38</v>
      </c>
      <c r="I36" s="5">
        <f>SUM(F36:H36)</f>
        <v>123</v>
      </c>
      <c r="J36" s="7">
        <f>AVERAGE(F36:H36)</f>
        <v>41</v>
      </c>
      <c r="K36" s="8">
        <f>I36/300</f>
        <v>0.41</v>
      </c>
      <c r="L36" s="5">
        <f>_xlfn.RANK.EQ(J36,$J$2:$J$1001,0)</f>
        <v>965</v>
      </c>
    </row>
    <row r="37" spans="1:12" x14ac:dyDescent="0.3">
      <c r="A37" s="5" t="s">
        <v>8</v>
      </c>
      <c r="B37" s="5" t="s">
        <v>18</v>
      </c>
      <c r="C37" s="5" t="s">
        <v>22</v>
      </c>
      <c r="D37" s="5" t="s">
        <v>20</v>
      </c>
      <c r="E37" s="5" t="s">
        <v>15</v>
      </c>
      <c r="F37" s="5">
        <v>34</v>
      </c>
      <c r="G37" s="5">
        <v>48</v>
      </c>
      <c r="H37" s="6">
        <v>41</v>
      </c>
      <c r="I37" s="5">
        <f>SUM(F37:H37)</f>
        <v>123</v>
      </c>
      <c r="J37" s="7">
        <f>AVERAGE(F37:H37)</f>
        <v>41</v>
      </c>
      <c r="K37" s="8">
        <f>I37/300</f>
        <v>0.41</v>
      </c>
      <c r="L37" s="5">
        <f>_xlfn.RANK.EQ(J37,$J$2:$J$1001,0)</f>
        <v>965</v>
      </c>
    </row>
    <row r="38" spans="1:12" x14ac:dyDescent="0.3">
      <c r="A38" s="5" t="s">
        <v>8</v>
      </c>
      <c r="B38" s="5" t="s">
        <v>18</v>
      </c>
      <c r="C38" s="5" t="s">
        <v>23</v>
      </c>
      <c r="D38" s="5" t="s">
        <v>20</v>
      </c>
      <c r="E38" s="5" t="s">
        <v>12</v>
      </c>
      <c r="F38" s="5">
        <v>38</v>
      </c>
      <c r="G38" s="5">
        <v>43</v>
      </c>
      <c r="H38" s="6">
        <v>43</v>
      </c>
      <c r="I38" s="5">
        <f>SUM(F38:H38)</f>
        <v>124</v>
      </c>
      <c r="J38" s="7">
        <f>AVERAGE(F38:H38)</f>
        <v>41.333333333333336</v>
      </c>
      <c r="K38" s="8">
        <f>I38/300</f>
        <v>0.41333333333333333</v>
      </c>
      <c r="L38" s="5">
        <f>_xlfn.RANK.EQ(J38,$J$2:$J$1001,0)</f>
        <v>964</v>
      </c>
    </row>
    <row r="39" spans="1:12" x14ac:dyDescent="0.3">
      <c r="A39" s="5" t="s">
        <v>8</v>
      </c>
      <c r="B39" s="5" t="s">
        <v>24</v>
      </c>
      <c r="C39" s="5" t="s">
        <v>22</v>
      </c>
      <c r="D39" s="5" t="s">
        <v>20</v>
      </c>
      <c r="E39" s="5" t="s">
        <v>12</v>
      </c>
      <c r="F39" s="5">
        <v>41</v>
      </c>
      <c r="G39" s="5">
        <v>45</v>
      </c>
      <c r="H39" s="6">
        <v>40</v>
      </c>
      <c r="I39" s="5">
        <f>SUM(F39:H39)</f>
        <v>126</v>
      </c>
      <c r="J39" s="7">
        <f>AVERAGE(F39:H39)</f>
        <v>42</v>
      </c>
      <c r="K39" s="8">
        <f>I39/300</f>
        <v>0.42</v>
      </c>
      <c r="L39" s="5">
        <f>_xlfn.RANK.EQ(J39,$J$2:$J$1001,0)</f>
        <v>963</v>
      </c>
    </row>
    <row r="40" spans="1:12" x14ac:dyDescent="0.3">
      <c r="A40" s="5" t="s">
        <v>8</v>
      </c>
      <c r="B40" s="5" t="s">
        <v>9</v>
      </c>
      <c r="C40" s="5" t="s">
        <v>23</v>
      </c>
      <c r="D40" s="5" t="s">
        <v>11</v>
      </c>
      <c r="E40" s="5" t="s">
        <v>15</v>
      </c>
      <c r="F40" s="5">
        <v>32</v>
      </c>
      <c r="G40" s="5">
        <v>51</v>
      </c>
      <c r="H40" s="6">
        <v>44</v>
      </c>
      <c r="I40" s="5">
        <f>SUM(F40:H40)</f>
        <v>127</v>
      </c>
      <c r="J40" s="7">
        <f>AVERAGE(F40:H40)</f>
        <v>42.333333333333336</v>
      </c>
      <c r="K40" s="8">
        <f>I40/300</f>
        <v>0.42333333333333334</v>
      </c>
      <c r="L40" s="5">
        <f>_xlfn.RANK.EQ(J40,$J$2:$J$1001,0)</f>
        <v>962</v>
      </c>
    </row>
    <row r="41" spans="1:12" x14ac:dyDescent="0.3">
      <c r="A41" s="5" t="s">
        <v>8</v>
      </c>
      <c r="B41" s="5" t="s">
        <v>9</v>
      </c>
      <c r="C41" s="5" t="s">
        <v>23</v>
      </c>
      <c r="D41" s="5" t="s">
        <v>11</v>
      </c>
      <c r="E41" s="5" t="s">
        <v>12</v>
      </c>
      <c r="F41" s="5">
        <v>37</v>
      </c>
      <c r="G41" s="5">
        <v>46</v>
      </c>
      <c r="H41" s="6">
        <v>46</v>
      </c>
      <c r="I41" s="5">
        <f>SUM(F41:H41)</f>
        <v>129</v>
      </c>
      <c r="J41" s="7">
        <f>AVERAGE(F41:H41)</f>
        <v>43</v>
      </c>
      <c r="K41" s="8">
        <f>I41/300</f>
        <v>0.43</v>
      </c>
      <c r="L41" s="5">
        <f>_xlfn.RANK.EQ(J41,$J$2:$J$1001,0)</f>
        <v>960</v>
      </c>
    </row>
    <row r="42" spans="1:12" x14ac:dyDescent="0.3">
      <c r="A42" s="5" t="s">
        <v>17</v>
      </c>
      <c r="B42" s="5" t="s">
        <v>13</v>
      </c>
      <c r="C42" s="5" t="s">
        <v>14</v>
      </c>
      <c r="D42" s="5" t="s">
        <v>11</v>
      </c>
      <c r="E42" s="5" t="s">
        <v>12</v>
      </c>
      <c r="F42" s="5">
        <v>53</v>
      </c>
      <c r="G42" s="5">
        <v>39</v>
      </c>
      <c r="H42" s="6">
        <v>37</v>
      </c>
      <c r="I42" s="5">
        <f>SUM(F42:H42)</f>
        <v>129</v>
      </c>
      <c r="J42" s="7">
        <f>AVERAGE(F42:H42)</f>
        <v>43</v>
      </c>
      <c r="K42" s="8">
        <f>I42/300</f>
        <v>0.43</v>
      </c>
      <c r="L42" s="5">
        <f>_xlfn.RANK.EQ(J42,$J$2:$J$1001,0)</f>
        <v>960</v>
      </c>
    </row>
    <row r="43" spans="1:12" x14ac:dyDescent="0.3">
      <c r="A43" s="5" t="s">
        <v>17</v>
      </c>
      <c r="B43" s="5" t="s">
        <v>13</v>
      </c>
      <c r="C43" s="5" t="s">
        <v>23</v>
      </c>
      <c r="D43" s="5" t="s">
        <v>20</v>
      </c>
      <c r="E43" s="5" t="s">
        <v>15</v>
      </c>
      <c r="F43" s="5">
        <v>53</v>
      </c>
      <c r="G43" s="5">
        <v>37</v>
      </c>
      <c r="H43" s="6">
        <v>40</v>
      </c>
      <c r="I43" s="5">
        <f>SUM(F43:H43)</f>
        <v>130</v>
      </c>
      <c r="J43" s="7">
        <f>AVERAGE(F43:H43)</f>
        <v>43.333333333333336</v>
      </c>
      <c r="K43" s="8">
        <f>I43/300</f>
        <v>0.43333333333333335</v>
      </c>
      <c r="L43" s="5">
        <f>_xlfn.RANK.EQ(J43,$J$2:$J$1001,0)</f>
        <v>956</v>
      </c>
    </row>
    <row r="44" spans="1:12" x14ac:dyDescent="0.3">
      <c r="A44" s="5" t="s">
        <v>17</v>
      </c>
      <c r="B44" s="5" t="s">
        <v>18</v>
      </c>
      <c r="C44" s="5" t="s">
        <v>23</v>
      </c>
      <c r="D44" s="5" t="s">
        <v>11</v>
      </c>
      <c r="E44" s="5" t="s">
        <v>15</v>
      </c>
      <c r="F44" s="5">
        <v>46</v>
      </c>
      <c r="G44" s="5">
        <v>41</v>
      </c>
      <c r="H44" s="6">
        <v>43</v>
      </c>
      <c r="I44" s="5">
        <f>SUM(F44:H44)</f>
        <v>130</v>
      </c>
      <c r="J44" s="7">
        <f>AVERAGE(F44:H44)</f>
        <v>43.333333333333336</v>
      </c>
      <c r="K44" s="8">
        <f>I44/300</f>
        <v>0.43333333333333335</v>
      </c>
      <c r="L44" s="5">
        <f>_xlfn.RANK.EQ(J44,$J$2:$J$1001,0)</f>
        <v>956</v>
      </c>
    </row>
    <row r="45" spans="1:12" x14ac:dyDescent="0.3">
      <c r="A45" s="5" t="s">
        <v>8</v>
      </c>
      <c r="B45" s="5" t="s">
        <v>13</v>
      </c>
      <c r="C45" s="5" t="s">
        <v>22</v>
      </c>
      <c r="D45" s="5" t="s">
        <v>20</v>
      </c>
      <c r="E45" s="5" t="s">
        <v>12</v>
      </c>
      <c r="F45" s="5">
        <v>41</v>
      </c>
      <c r="G45" s="5">
        <v>46</v>
      </c>
      <c r="H45" s="6">
        <v>43</v>
      </c>
      <c r="I45" s="5">
        <f>SUM(F45:H45)</f>
        <v>130</v>
      </c>
      <c r="J45" s="7">
        <f>AVERAGE(F45:H45)</f>
        <v>43.333333333333336</v>
      </c>
      <c r="K45" s="8">
        <f>I45/300</f>
        <v>0.43333333333333335</v>
      </c>
      <c r="L45" s="5">
        <f>_xlfn.RANK.EQ(J45,$J$2:$J$1001,0)</f>
        <v>956</v>
      </c>
    </row>
    <row r="46" spans="1:12" x14ac:dyDescent="0.3">
      <c r="A46" s="5" t="s">
        <v>17</v>
      </c>
      <c r="B46" s="5" t="s">
        <v>24</v>
      </c>
      <c r="C46" s="5" t="s">
        <v>19</v>
      </c>
      <c r="D46" s="5" t="s">
        <v>20</v>
      </c>
      <c r="E46" s="5" t="s">
        <v>12</v>
      </c>
      <c r="F46" s="5">
        <v>46</v>
      </c>
      <c r="G46" s="5">
        <v>43</v>
      </c>
      <c r="H46" s="6">
        <v>41</v>
      </c>
      <c r="I46" s="5">
        <f>SUM(F46:H46)</f>
        <v>130</v>
      </c>
      <c r="J46" s="7">
        <f>AVERAGE(F46:H46)</f>
        <v>43.333333333333336</v>
      </c>
      <c r="K46" s="8">
        <f>I46/300</f>
        <v>0.43333333333333335</v>
      </c>
      <c r="L46" s="5">
        <f>_xlfn.RANK.EQ(J46,$J$2:$J$1001,0)</f>
        <v>956</v>
      </c>
    </row>
    <row r="47" spans="1:12" x14ac:dyDescent="0.3">
      <c r="A47" s="5" t="s">
        <v>17</v>
      </c>
      <c r="B47" s="5" t="s">
        <v>13</v>
      </c>
      <c r="C47" s="5" t="s">
        <v>19</v>
      </c>
      <c r="D47" s="5" t="s">
        <v>11</v>
      </c>
      <c r="E47" s="5" t="s">
        <v>12</v>
      </c>
      <c r="F47" s="5">
        <v>46</v>
      </c>
      <c r="G47" s="5">
        <v>43</v>
      </c>
      <c r="H47" s="6">
        <v>42</v>
      </c>
      <c r="I47" s="5">
        <f>SUM(F47:H47)</f>
        <v>131</v>
      </c>
      <c r="J47" s="7">
        <f>AVERAGE(F47:H47)</f>
        <v>43.666666666666664</v>
      </c>
      <c r="K47" s="8">
        <f>I47/300</f>
        <v>0.43666666666666665</v>
      </c>
      <c r="L47" s="5">
        <f>_xlfn.RANK.EQ(J47,$J$2:$J$1001,0)</f>
        <v>954</v>
      </c>
    </row>
    <row r="48" spans="1:12" x14ac:dyDescent="0.3">
      <c r="A48" s="5" t="s">
        <v>17</v>
      </c>
      <c r="B48" s="5" t="s">
        <v>9</v>
      </c>
      <c r="C48" s="5" t="s">
        <v>14</v>
      </c>
      <c r="D48" s="5" t="s">
        <v>11</v>
      </c>
      <c r="E48" s="5" t="s">
        <v>12</v>
      </c>
      <c r="F48" s="5">
        <v>47</v>
      </c>
      <c r="G48" s="5">
        <v>43</v>
      </c>
      <c r="H48" s="6">
        <v>41</v>
      </c>
      <c r="I48" s="5">
        <f>SUM(F48:H48)</f>
        <v>131</v>
      </c>
      <c r="J48" s="7">
        <f>AVERAGE(F48:H48)</f>
        <v>43.666666666666664</v>
      </c>
      <c r="K48" s="8">
        <f>I48/300</f>
        <v>0.43666666666666665</v>
      </c>
      <c r="L48" s="5">
        <f>_xlfn.RANK.EQ(J48,$J$2:$J$1001,0)</f>
        <v>954</v>
      </c>
    </row>
    <row r="49" spans="1:12" x14ac:dyDescent="0.3">
      <c r="A49" s="5" t="s">
        <v>8</v>
      </c>
      <c r="B49" s="5" t="s">
        <v>24</v>
      </c>
      <c r="C49" s="5" t="s">
        <v>23</v>
      </c>
      <c r="D49" s="5" t="s">
        <v>20</v>
      </c>
      <c r="E49" s="5" t="s">
        <v>12</v>
      </c>
      <c r="F49" s="5">
        <v>38</v>
      </c>
      <c r="G49" s="5">
        <v>49</v>
      </c>
      <c r="H49" s="6">
        <v>45</v>
      </c>
      <c r="I49" s="5">
        <f>SUM(F49:H49)</f>
        <v>132</v>
      </c>
      <c r="J49" s="7">
        <f>AVERAGE(F49:H49)</f>
        <v>44</v>
      </c>
      <c r="K49" s="8">
        <f>I49/300</f>
        <v>0.44</v>
      </c>
      <c r="L49" s="5">
        <f>_xlfn.RANK.EQ(J49,$J$2:$J$1001,0)</f>
        <v>952</v>
      </c>
    </row>
    <row r="50" spans="1:12" x14ac:dyDescent="0.3">
      <c r="A50" s="5" t="s">
        <v>8</v>
      </c>
      <c r="B50" s="5" t="s">
        <v>13</v>
      </c>
      <c r="C50" s="5" t="s">
        <v>22</v>
      </c>
      <c r="D50" s="5" t="s">
        <v>20</v>
      </c>
      <c r="E50" s="5" t="s">
        <v>12</v>
      </c>
      <c r="F50" s="5">
        <v>36</v>
      </c>
      <c r="G50" s="5">
        <v>53</v>
      </c>
      <c r="H50" s="6">
        <v>43</v>
      </c>
      <c r="I50" s="5">
        <f>SUM(F50:H50)</f>
        <v>132</v>
      </c>
      <c r="J50" s="7">
        <f>AVERAGE(F50:H50)</f>
        <v>44</v>
      </c>
      <c r="K50" s="8">
        <f>I50/300</f>
        <v>0.44</v>
      </c>
      <c r="L50" s="5">
        <f>_xlfn.RANK.EQ(J50,$J$2:$J$1001,0)</f>
        <v>952</v>
      </c>
    </row>
    <row r="51" spans="1:12" x14ac:dyDescent="0.3">
      <c r="A51" s="5" t="s">
        <v>17</v>
      </c>
      <c r="B51" s="5" t="s">
        <v>24</v>
      </c>
      <c r="C51" s="5" t="s">
        <v>19</v>
      </c>
      <c r="D51" s="5" t="s">
        <v>20</v>
      </c>
      <c r="E51" s="5" t="s">
        <v>15</v>
      </c>
      <c r="F51" s="5">
        <v>46</v>
      </c>
      <c r="G51" s="5">
        <v>43</v>
      </c>
      <c r="H51" s="6">
        <v>44</v>
      </c>
      <c r="I51" s="5">
        <f>SUM(F51:H51)</f>
        <v>133</v>
      </c>
      <c r="J51" s="7">
        <f>AVERAGE(F51:H51)</f>
        <v>44.333333333333336</v>
      </c>
      <c r="K51" s="8">
        <f>I51/300</f>
        <v>0.44333333333333336</v>
      </c>
      <c r="L51" s="5">
        <f>_xlfn.RANK.EQ(J51,$J$2:$J$1001,0)</f>
        <v>951</v>
      </c>
    </row>
    <row r="52" spans="1:12" x14ac:dyDescent="0.3">
      <c r="A52" s="5" t="s">
        <v>17</v>
      </c>
      <c r="B52" s="5" t="s">
        <v>13</v>
      </c>
      <c r="C52" s="5" t="s">
        <v>16</v>
      </c>
      <c r="D52" s="5" t="s">
        <v>20</v>
      </c>
      <c r="E52" s="5" t="s">
        <v>15</v>
      </c>
      <c r="F52" s="5">
        <v>46</v>
      </c>
      <c r="G52" s="5">
        <v>42</v>
      </c>
      <c r="H52" s="6">
        <v>46</v>
      </c>
      <c r="I52" s="5">
        <f>SUM(F52:H52)</f>
        <v>134</v>
      </c>
      <c r="J52" s="7">
        <f>AVERAGE(F52:H52)</f>
        <v>44.666666666666664</v>
      </c>
      <c r="K52" s="8">
        <f>I52/300</f>
        <v>0.44666666666666666</v>
      </c>
      <c r="L52" s="5">
        <f>_xlfn.RANK.EQ(J52,$J$2:$J$1001,0)</f>
        <v>947</v>
      </c>
    </row>
    <row r="53" spans="1:12" x14ac:dyDescent="0.3">
      <c r="A53" s="5" t="s">
        <v>17</v>
      </c>
      <c r="B53" s="5" t="s">
        <v>18</v>
      </c>
      <c r="C53" s="5" t="s">
        <v>22</v>
      </c>
      <c r="D53" s="5" t="s">
        <v>20</v>
      </c>
      <c r="E53" s="5" t="s">
        <v>12</v>
      </c>
      <c r="F53" s="5">
        <v>48</v>
      </c>
      <c r="G53" s="5">
        <v>45</v>
      </c>
      <c r="H53" s="6">
        <v>41</v>
      </c>
      <c r="I53" s="5">
        <f>SUM(F53:H53)</f>
        <v>134</v>
      </c>
      <c r="J53" s="7">
        <f>AVERAGE(F53:H53)</f>
        <v>44.666666666666664</v>
      </c>
      <c r="K53" s="8">
        <f>I53/300</f>
        <v>0.44666666666666666</v>
      </c>
      <c r="L53" s="5">
        <f>_xlfn.RANK.EQ(J53,$J$2:$J$1001,0)</f>
        <v>947</v>
      </c>
    </row>
    <row r="54" spans="1:12" x14ac:dyDescent="0.3">
      <c r="A54" s="5" t="s">
        <v>8</v>
      </c>
      <c r="B54" s="5" t="s">
        <v>13</v>
      </c>
      <c r="C54" s="5" t="s">
        <v>22</v>
      </c>
      <c r="D54" s="5" t="s">
        <v>20</v>
      </c>
      <c r="E54" s="5" t="s">
        <v>12</v>
      </c>
      <c r="F54" s="5">
        <v>35</v>
      </c>
      <c r="G54" s="5">
        <v>53</v>
      </c>
      <c r="H54" s="6">
        <v>46</v>
      </c>
      <c r="I54" s="5">
        <f>SUM(F54:H54)</f>
        <v>134</v>
      </c>
      <c r="J54" s="7">
        <f>AVERAGE(F54:H54)</f>
        <v>44.666666666666664</v>
      </c>
      <c r="K54" s="8">
        <f>I54/300</f>
        <v>0.44666666666666666</v>
      </c>
      <c r="L54" s="5">
        <f>_xlfn.RANK.EQ(J54,$J$2:$J$1001,0)</f>
        <v>947</v>
      </c>
    </row>
    <row r="55" spans="1:12" x14ac:dyDescent="0.3">
      <c r="A55" s="5" t="s">
        <v>8</v>
      </c>
      <c r="B55" s="5" t="s">
        <v>18</v>
      </c>
      <c r="C55" s="5" t="s">
        <v>23</v>
      </c>
      <c r="D55" s="5" t="s">
        <v>20</v>
      </c>
      <c r="E55" s="5" t="s">
        <v>12</v>
      </c>
      <c r="F55" s="5">
        <v>44</v>
      </c>
      <c r="G55" s="5">
        <v>45</v>
      </c>
      <c r="H55" s="6">
        <v>45</v>
      </c>
      <c r="I55" s="5">
        <f>SUM(F55:H55)</f>
        <v>134</v>
      </c>
      <c r="J55" s="7">
        <f>AVERAGE(F55:H55)</f>
        <v>44.666666666666664</v>
      </c>
      <c r="K55" s="8">
        <f>I55/300</f>
        <v>0.44666666666666666</v>
      </c>
      <c r="L55" s="5">
        <f>_xlfn.RANK.EQ(J55,$J$2:$J$1001,0)</f>
        <v>947</v>
      </c>
    </row>
    <row r="56" spans="1:12" x14ac:dyDescent="0.3">
      <c r="A56" s="5" t="s">
        <v>17</v>
      </c>
      <c r="B56" s="5" t="s">
        <v>21</v>
      </c>
      <c r="C56" s="5" t="s">
        <v>19</v>
      </c>
      <c r="D56" s="5" t="s">
        <v>11</v>
      </c>
      <c r="E56" s="5" t="s">
        <v>12</v>
      </c>
      <c r="F56" s="5">
        <v>40</v>
      </c>
      <c r="G56" s="5">
        <v>52</v>
      </c>
      <c r="H56" s="6">
        <v>43</v>
      </c>
      <c r="I56" s="5">
        <f>SUM(F56:H56)</f>
        <v>135</v>
      </c>
      <c r="J56" s="7">
        <f>AVERAGE(F56:H56)</f>
        <v>45</v>
      </c>
      <c r="K56" s="8">
        <f>I56/300</f>
        <v>0.45</v>
      </c>
      <c r="L56" s="5">
        <f>_xlfn.RANK.EQ(J56,$J$2:$J$1001,0)</f>
        <v>945</v>
      </c>
    </row>
    <row r="57" spans="1:12" x14ac:dyDescent="0.3">
      <c r="A57" s="5" t="s">
        <v>17</v>
      </c>
      <c r="B57" s="5" t="s">
        <v>9</v>
      </c>
      <c r="C57" s="5" t="s">
        <v>22</v>
      </c>
      <c r="D57" s="5" t="s">
        <v>11</v>
      </c>
      <c r="E57" s="5" t="s">
        <v>12</v>
      </c>
      <c r="F57" s="5">
        <v>47</v>
      </c>
      <c r="G57" s="5">
        <v>46</v>
      </c>
      <c r="H57" s="6">
        <v>42</v>
      </c>
      <c r="I57" s="5">
        <f>SUM(F57:H57)</f>
        <v>135</v>
      </c>
      <c r="J57" s="7">
        <f>AVERAGE(F57:H57)</f>
        <v>45</v>
      </c>
      <c r="K57" s="8">
        <f>I57/300</f>
        <v>0.45</v>
      </c>
      <c r="L57" s="5">
        <f>_xlfn.RANK.EQ(J57,$J$2:$J$1001,0)</f>
        <v>945</v>
      </c>
    </row>
    <row r="58" spans="1:12" x14ac:dyDescent="0.3">
      <c r="A58" s="5" t="s">
        <v>17</v>
      </c>
      <c r="B58" s="5" t="s">
        <v>13</v>
      </c>
      <c r="C58" s="5" t="s">
        <v>22</v>
      </c>
      <c r="D58" s="5" t="s">
        <v>20</v>
      </c>
      <c r="E58" s="5" t="s">
        <v>15</v>
      </c>
      <c r="F58" s="5">
        <v>40</v>
      </c>
      <c r="G58" s="5">
        <v>46</v>
      </c>
      <c r="H58" s="6">
        <v>50</v>
      </c>
      <c r="I58" s="5">
        <f>SUM(F58:H58)</f>
        <v>136</v>
      </c>
      <c r="J58" s="7">
        <f>AVERAGE(F58:H58)</f>
        <v>45.333333333333336</v>
      </c>
      <c r="K58" s="8">
        <f>I58/300</f>
        <v>0.45333333333333331</v>
      </c>
      <c r="L58" s="5">
        <f>_xlfn.RANK.EQ(J58,$J$2:$J$1001,0)</f>
        <v>943</v>
      </c>
    </row>
    <row r="59" spans="1:12" x14ac:dyDescent="0.3">
      <c r="A59" s="5" t="s">
        <v>17</v>
      </c>
      <c r="B59" s="5" t="s">
        <v>9</v>
      </c>
      <c r="C59" s="5" t="s">
        <v>19</v>
      </c>
      <c r="D59" s="5" t="s">
        <v>11</v>
      </c>
      <c r="E59" s="5" t="s">
        <v>12</v>
      </c>
      <c r="F59" s="5">
        <v>48</v>
      </c>
      <c r="G59" s="5">
        <v>43</v>
      </c>
      <c r="H59" s="6">
        <v>45</v>
      </c>
      <c r="I59" s="5">
        <f>SUM(F59:H59)</f>
        <v>136</v>
      </c>
      <c r="J59" s="7">
        <f>AVERAGE(F59:H59)</f>
        <v>45.333333333333336</v>
      </c>
      <c r="K59" s="8">
        <f>I59/300</f>
        <v>0.45333333333333331</v>
      </c>
      <c r="L59" s="5">
        <f>_xlfn.RANK.EQ(J59,$J$2:$J$1001,0)</f>
        <v>943</v>
      </c>
    </row>
    <row r="60" spans="1:12" x14ac:dyDescent="0.3">
      <c r="A60" s="5" t="s">
        <v>8</v>
      </c>
      <c r="B60" s="5" t="s">
        <v>21</v>
      </c>
      <c r="C60" s="5" t="s">
        <v>22</v>
      </c>
      <c r="D60" s="5" t="s">
        <v>20</v>
      </c>
      <c r="E60" s="5" t="s">
        <v>12</v>
      </c>
      <c r="F60" s="5">
        <v>39</v>
      </c>
      <c r="G60" s="5">
        <v>52</v>
      </c>
      <c r="H60" s="6">
        <v>46</v>
      </c>
      <c r="I60" s="5">
        <f>SUM(F60:H60)</f>
        <v>137</v>
      </c>
      <c r="J60" s="7">
        <f>AVERAGE(F60:H60)</f>
        <v>45.666666666666664</v>
      </c>
      <c r="K60" s="8">
        <f>I60/300</f>
        <v>0.45666666666666667</v>
      </c>
      <c r="L60" s="5">
        <f>_xlfn.RANK.EQ(J60,$J$2:$J$1001,0)</f>
        <v>942</v>
      </c>
    </row>
    <row r="61" spans="1:12" x14ac:dyDescent="0.3">
      <c r="A61" s="5" t="s">
        <v>17</v>
      </c>
      <c r="B61" s="5" t="s">
        <v>13</v>
      </c>
      <c r="C61" s="5" t="s">
        <v>19</v>
      </c>
      <c r="D61" s="5" t="s">
        <v>20</v>
      </c>
      <c r="E61" s="5" t="s">
        <v>15</v>
      </c>
      <c r="F61" s="5">
        <v>43</v>
      </c>
      <c r="G61" s="5">
        <v>45</v>
      </c>
      <c r="H61" s="6">
        <v>50</v>
      </c>
      <c r="I61" s="5">
        <f>SUM(F61:H61)</f>
        <v>138</v>
      </c>
      <c r="J61" s="7">
        <f>AVERAGE(F61:H61)</f>
        <v>46</v>
      </c>
      <c r="K61" s="8">
        <f>I61/300</f>
        <v>0.46</v>
      </c>
      <c r="L61" s="5">
        <f>_xlfn.RANK.EQ(J61,$J$2:$J$1001,0)</f>
        <v>939</v>
      </c>
    </row>
    <row r="62" spans="1:12" x14ac:dyDescent="0.3">
      <c r="A62" s="5" t="s">
        <v>8</v>
      </c>
      <c r="B62" s="5" t="s">
        <v>9</v>
      </c>
      <c r="C62" s="5" t="s">
        <v>19</v>
      </c>
      <c r="D62" s="5" t="s">
        <v>11</v>
      </c>
      <c r="E62" s="5" t="s">
        <v>12</v>
      </c>
      <c r="F62" s="5">
        <v>40</v>
      </c>
      <c r="G62" s="5">
        <v>48</v>
      </c>
      <c r="H62" s="6">
        <v>50</v>
      </c>
      <c r="I62" s="5">
        <f>SUM(F62:H62)</f>
        <v>138</v>
      </c>
      <c r="J62" s="7">
        <f>AVERAGE(F62:H62)</f>
        <v>46</v>
      </c>
      <c r="K62" s="8">
        <f>I62/300</f>
        <v>0.46</v>
      </c>
      <c r="L62" s="5">
        <f>_xlfn.RANK.EQ(J62,$J$2:$J$1001,0)</f>
        <v>939</v>
      </c>
    </row>
    <row r="63" spans="1:12" x14ac:dyDescent="0.3">
      <c r="A63" s="5" t="s">
        <v>17</v>
      </c>
      <c r="B63" s="5" t="s">
        <v>24</v>
      </c>
      <c r="C63" s="5" t="s">
        <v>19</v>
      </c>
      <c r="D63" s="5" t="s">
        <v>11</v>
      </c>
      <c r="E63" s="5" t="s">
        <v>12</v>
      </c>
      <c r="F63" s="5">
        <v>53</v>
      </c>
      <c r="G63" s="5">
        <v>45</v>
      </c>
      <c r="H63" s="6">
        <v>40</v>
      </c>
      <c r="I63" s="5">
        <f>SUM(F63:H63)</f>
        <v>138</v>
      </c>
      <c r="J63" s="7">
        <f>AVERAGE(F63:H63)</f>
        <v>46</v>
      </c>
      <c r="K63" s="8">
        <f>I63/300</f>
        <v>0.46</v>
      </c>
      <c r="L63" s="5">
        <f>_xlfn.RANK.EQ(J63,$J$2:$J$1001,0)</f>
        <v>939</v>
      </c>
    </row>
    <row r="64" spans="1:12" x14ac:dyDescent="0.3">
      <c r="A64" s="5" t="s">
        <v>17</v>
      </c>
      <c r="B64" s="5" t="s">
        <v>13</v>
      </c>
      <c r="C64" s="5" t="s">
        <v>14</v>
      </c>
      <c r="D64" s="5" t="s">
        <v>11</v>
      </c>
      <c r="E64" s="5" t="s">
        <v>12</v>
      </c>
      <c r="F64" s="5">
        <v>53</v>
      </c>
      <c r="G64" s="5">
        <v>44</v>
      </c>
      <c r="H64" s="6">
        <v>42</v>
      </c>
      <c r="I64" s="5">
        <f>SUM(F64:H64)</f>
        <v>139</v>
      </c>
      <c r="J64" s="7">
        <f>AVERAGE(F64:H64)</f>
        <v>46.333333333333336</v>
      </c>
      <c r="K64" s="8">
        <f>I64/300</f>
        <v>0.46333333333333332</v>
      </c>
      <c r="L64" s="5">
        <f>_xlfn.RANK.EQ(J64,$J$2:$J$1001,0)</f>
        <v>934</v>
      </c>
    </row>
    <row r="65" spans="1:12" x14ac:dyDescent="0.3">
      <c r="A65" s="5" t="s">
        <v>17</v>
      </c>
      <c r="B65" s="5" t="s">
        <v>13</v>
      </c>
      <c r="C65" s="5" t="s">
        <v>23</v>
      </c>
      <c r="D65" s="5" t="s">
        <v>11</v>
      </c>
      <c r="E65" s="5" t="s">
        <v>12</v>
      </c>
      <c r="F65" s="5">
        <v>49</v>
      </c>
      <c r="G65" s="5">
        <v>49</v>
      </c>
      <c r="H65" s="6">
        <v>41</v>
      </c>
      <c r="I65" s="5">
        <f>SUM(F65:H65)</f>
        <v>139</v>
      </c>
      <c r="J65" s="7">
        <f>AVERAGE(F65:H65)</f>
        <v>46.333333333333336</v>
      </c>
      <c r="K65" s="8">
        <f>I65/300</f>
        <v>0.46333333333333332</v>
      </c>
      <c r="L65" s="5">
        <f>_xlfn.RANK.EQ(J65,$J$2:$J$1001,0)</f>
        <v>934</v>
      </c>
    </row>
    <row r="66" spans="1:12" x14ac:dyDescent="0.3">
      <c r="A66" s="5" t="s">
        <v>17</v>
      </c>
      <c r="B66" s="5" t="s">
        <v>9</v>
      </c>
      <c r="C66" s="5" t="s">
        <v>22</v>
      </c>
      <c r="D66" s="5" t="s">
        <v>20</v>
      </c>
      <c r="E66" s="5" t="s">
        <v>12</v>
      </c>
      <c r="F66" s="5">
        <v>49</v>
      </c>
      <c r="G66" s="5">
        <v>45</v>
      </c>
      <c r="H66" s="6">
        <v>45</v>
      </c>
      <c r="I66" s="5">
        <f>SUM(F66:H66)</f>
        <v>139</v>
      </c>
      <c r="J66" s="7">
        <f>AVERAGE(F66:H66)</f>
        <v>46.333333333333336</v>
      </c>
      <c r="K66" s="8">
        <f>I66/300</f>
        <v>0.46333333333333332</v>
      </c>
      <c r="L66" s="5">
        <f>_xlfn.RANK.EQ(J66,$J$2:$J$1001,0)</f>
        <v>934</v>
      </c>
    </row>
    <row r="67" spans="1:12" x14ac:dyDescent="0.3">
      <c r="A67" s="5" t="s">
        <v>17</v>
      </c>
      <c r="B67" s="5" t="s">
        <v>21</v>
      </c>
      <c r="C67" s="5" t="s">
        <v>22</v>
      </c>
      <c r="D67" s="5" t="s">
        <v>11</v>
      </c>
      <c r="E67" s="5" t="s">
        <v>12</v>
      </c>
      <c r="F67" s="5">
        <v>45</v>
      </c>
      <c r="G67" s="5">
        <v>48</v>
      </c>
      <c r="H67" s="6">
        <v>46</v>
      </c>
      <c r="I67" s="5">
        <f>SUM(F67:H67)</f>
        <v>139</v>
      </c>
      <c r="J67" s="7">
        <f>AVERAGE(F67:H67)</f>
        <v>46.333333333333336</v>
      </c>
      <c r="K67" s="8">
        <f>I67/300</f>
        <v>0.46333333333333332</v>
      </c>
      <c r="L67" s="5">
        <f>_xlfn.RANK.EQ(J67,$J$2:$J$1001,0)</f>
        <v>934</v>
      </c>
    </row>
    <row r="68" spans="1:12" x14ac:dyDescent="0.3">
      <c r="A68" s="5" t="s">
        <v>17</v>
      </c>
      <c r="B68" s="5" t="s">
        <v>18</v>
      </c>
      <c r="C68" s="5" t="s">
        <v>14</v>
      </c>
      <c r="D68" s="5" t="s">
        <v>11</v>
      </c>
      <c r="E68" s="5" t="s">
        <v>12</v>
      </c>
      <c r="F68" s="5">
        <v>53</v>
      </c>
      <c r="G68" s="5">
        <v>43</v>
      </c>
      <c r="H68" s="6">
        <v>43</v>
      </c>
      <c r="I68" s="5">
        <f>SUM(F68:H68)</f>
        <v>139</v>
      </c>
      <c r="J68" s="7">
        <f>AVERAGE(F68:H68)</f>
        <v>46.333333333333336</v>
      </c>
      <c r="K68" s="8">
        <f>I68/300</f>
        <v>0.46333333333333332</v>
      </c>
      <c r="L68" s="5">
        <f>_xlfn.RANK.EQ(J68,$J$2:$J$1001,0)</f>
        <v>934</v>
      </c>
    </row>
    <row r="69" spans="1:12" x14ac:dyDescent="0.3">
      <c r="A69" s="5" t="s">
        <v>8</v>
      </c>
      <c r="B69" s="5" t="s">
        <v>18</v>
      </c>
      <c r="C69" s="5" t="s">
        <v>19</v>
      </c>
      <c r="D69" s="5" t="s">
        <v>20</v>
      </c>
      <c r="E69" s="5" t="s">
        <v>12</v>
      </c>
      <c r="F69" s="5">
        <v>41</v>
      </c>
      <c r="G69" s="5">
        <v>51</v>
      </c>
      <c r="H69" s="6">
        <v>48</v>
      </c>
      <c r="I69" s="5">
        <f>SUM(F69:H69)</f>
        <v>140</v>
      </c>
      <c r="J69" s="7">
        <f>AVERAGE(F69:H69)</f>
        <v>46.666666666666664</v>
      </c>
      <c r="K69" s="8">
        <f>I69/300</f>
        <v>0.46666666666666667</v>
      </c>
      <c r="L69" s="5">
        <f>_xlfn.RANK.EQ(J69,$J$2:$J$1001,0)</f>
        <v>930</v>
      </c>
    </row>
    <row r="70" spans="1:12" x14ac:dyDescent="0.3">
      <c r="A70" s="5" t="s">
        <v>17</v>
      </c>
      <c r="B70" s="5" t="s">
        <v>13</v>
      </c>
      <c r="C70" s="5" t="s">
        <v>10</v>
      </c>
      <c r="D70" s="5" t="s">
        <v>20</v>
      </c>
      <c r="E70" s="5" t="s">
        <v>12</v>
      </c>
      <c r="F70" s="5">
        <v>37</v>
      </c>
      <c r="G70" s="5">
        <v>56</v>
      </c>
      <c r="H70" s="6">
        <v>47</v>
      </c>
      <c r="I70" s="5">
        <f>SUM(F70:H70)</f>
        <v>140</v>
      </c>
      <c r="J70" s="7">
        <f>AVERAGE(F70:H70)</f>
        <v>46.666666666666664</v>
      </c>
      <c r="K70" s="8">
        <f>I70/300</f>
        <v>0.46666666666666667</v>
      </c>
      <c r="L70" s="5">
        <f>_xlfn.RANK.EQ(J70,$J$2:$J$1001,0)</f>
        <v>930</v>
      </c>
    </row>
    <row r="71" spans="1:12" x14ac:dyDescent="0.3">
      <c r="A71" s="5" t="s">
        <v>17</v>
      </c>
      <c r="B71" s="5" t="s">
        <v>13</v>
      </c>
      <c r="C71" s="5" t="s">
        <v>22</v>
      </c>
      <c r="D71" s="5" t="s">
        <v>11</v>
      </c>
      <c r="E71" s="5" t="s">
        <v>12</v>
      </c>
      <c r="F71" s="5">
        <v>50</v>
      </c>
      <c r="G71" s="5">
        <v>48</v>
      </c>
      <c r="H71" s="6">
        <v>42</v>
      </c>
      <c r="I71" s="5">
        <f>SUM(F71:H71)</f>
        <v>140</v>
      </c>
      <c r="J71" s="7">
        <f>AVERAGE(F71:H71)</f>
        <v>46.666666666666664</v>
      </c>
      <c r="K71" s="8">
        <f>I71/300</f>
        <v>0.46666666666666667</v>
      </c>
      <c r="L71" s="5">
        <f>_xlfn.RANK.EQ(J71,$J$2:$J$1001,0)</f>
        <v>930</v>
      </c>
    </row>
    <row r="72" spans="1:12" x14ac:dyDescent="0.3">
      <c r="A72" s="5" t="s">
        <v>17</v>
      </c>
      <c r="B72" s="5" t="s">
        <v>21</v>
      </c>
      <c r="C72" s="5" t="s">
        <v>10</v>
      </c>
      <c r="D72" s="5" t="s">
        <v>20</v>
      </c>
      <c r="E72" s="5" t="s">
        <v>12</v>
      </c>
      <c r="F72" s="5">
        <v>50</v>
      </c>
      <c r="G72" s="5">
        <v>42</v>
      </c>
      <c r="H72" s="6">
        <v>48</v>
      </c>
      <c r="I72" s="5">
        <f>SUM(F72:H72)</f>
        <v>140</v>
      </c>
      <c r="J72" s="7">
        <f>AVERAGE(F72:H72)</f>
        <v>46.666666666666664</v>
      </c>
      <c r="K72" s="8">
        <f>I72/300</f>
        <v>0.46666666666666667</v>
      </c>
      <c r="L72" s="5">
        <f>_xlfn.RANK.EQ(J72,$J$2:$J$1001,0)</f>
        <v>930</v>
      </c>
    </row>
    <row r="73" spans="1:12" x14ac:dyDescent="0.3">
      <c r="A73" s="5" t="s">
        <v>17</v>
      </c>
      <c r="B73" s="5" t="s">
        <v>18</v>
      </c>
      <c r="C73" s="5" t="s">
        <v>22</v>
      </c>
      <c r="D73" s="5" t="s">
        <v>20</v>
      </c>
      <c r="E73" s="5" t="s">
        <v>12</v>
      </c>
      <c r="F73" s="5">
        <v>45</v>
      </c>
      <c r="G73" s="5">
        <v>47</v>
      </c>
      <c r="H73" s="6">
        <v>49</v>
      </c>
      <c r="I73" s="5">
        <f>SUM(F73:H73)</f>
        <v>141</v>
      </c>
      <c r="J73" s="7">
        <f>AVERAGE(F73:H73)</f>
        <v>47</v>
      </c>
      <c r="K73" s="8">
        <f>I73/300</f>
        <v>0.47</v>
      </c>
      <c r="L73" s="5">
        <f>_xlfn.RANK.EQ(J73,$J$2:$J$1001,0)</f>
        <v>929</v>
      </c>
    </row>
    <row r="74" spans="1:12" x14ac:dyDescent="0.3">
      <c r="A74" s="5" t="s">
        <v>17</v>
      </c>
      <c r="B74" s="5" t="s">
        <v>13</v>
      </c>
      <c r="C74" s="5" t="s">
        <v>14</v>
      </c>
      <c r="D74" s="5" t="s">
        <v>11</v>
      </c>
      <c r="E74" s="5" t="s">
        <v>12</v>
      </c>
      <c r="F74" s="5">
        <v>59</v>
      </c>
      <c r="G74" s="5">
        <v>41</v>
      </c>
      <c r="H74" s="6">
        <v>42</v>
      </c>
      <c r="I74" s="5">
        <f>SUM(F74:H74)</f>
        <v>142</v>
      </c>
      <c r="J74" s="7">
        <f>AVERAGE(F74:H74)</f>
        <v>47.333333333333336</v>
      </c>
      <c r="K74" s="8">
        <f>I74/300</f>
        <v>0.47333333333333333</v>
      </c>
      <c r="L74" s="5">
        <f>_xlfn.RANK.EQ(J74,$J$2:$J$1001,0)</f>
        <v>927</v>
      </c>
    </row>
    <row r="75" spans="1:12" x14ac:dyDescent="0.3">
      <c r="A75" s="5" t="s">
        <v>17</v>
      </c>
      <c r="B75" s="5" t="s">
        <v>21</v>
      </c>
      <c r="C75" s="5" t="s">
        <v>23</v>
      </c>
      <c r="D75" s="5" t="s">
        <v>20</v>
      </c>
      <c r="E75" s="5" t="s">
        <v>12</v>
      </c>
      <c r="F75" s="5">
        <v>59</v>
      </c>
      <c r="G75" s="5">
        <v>42</v>
      </c>
      <c r="H75" s="6">
        <v>41</v>
      </c>
      <c r="I75" s="5">
        <f>SUM(F75:H75)</f>
        <v>142</v>
      </c>
      <c r="J75" s="7">
        <f>AVERAGE(F75:H75)</f>
        <v>47.333333333333336</v>
      </c>
      <c r="K75" s="8">
        <f>I75/300</f>
        <v>0.47333333333333333</v>
      </c>
      <c r="L75" s="5">
        <f>_xlfn.RANK.EQ(J75,$J$2:$J$1001,0)</f>
        <v>927</v>
      </c>
    </row>
    <row r="76" spans="1:12" x14ac:dyDescent="0.3">
      <c r="A76" s="5" t="s">
        <v>17</v>
      </c>
      <c r="B76" s="5" t="s">
        <v>13</v>
      </c>
      <c r="C76" s="5" t="s">
        <v>19</v>
      </c>
      <c r="D76" s="5" t="s">
        <v>11</v>
      </c>
      <c r="E76" s="5" t="s">
        <v>12</v>
      </c>
      <c r="F76" s="5">
        <v>49</v>
      </c>
      <c r="G76" s="5">
        <v>51</v>
      </c>
      <c r="H76" s="6">
        <v>43</v>
      </c>
      <c r="I76" s="5">
        <f>SUM(F76:H76)</f>
        <v>143</v>
      </c>
      <c r="J76" s="7">
        <f>AVERAGE(F76:H76)</f>
        <v>47.666666666666664</v>
      </c>
      <c r="K76" s="8">
        <f>I76/300</f>
        <v>0.47666666666666668</v>
      </c>
      <c r="L76" s="5">
        <f>_xlfn.RANK.EQ(J76,$J$2:$J$1001,0)</f>
        <v>925</v>
      </c>
    </row>
    <row r="77" spans="1:12" x14ac:dyDescent="0.3">
      <c r="A77" s="5" t="s">
        <v>17</v>
      </c>
      <c r="B77" s="5" t="s">
        <v>21</v>
      </c>
      <c r="C77" s="5" t="s">
        <v>22</v>
      </c>
      <c r="D77" s="5" t="s">
        <v>20</v>
      </c>
      <c r="E77" s="5" t="s">
        <v>12</v>
      </c>
      <c r="F77" s="5">
        <v>44</v>
      </c>
      <c r="G77" s="5">
        <v>51</v>
      </c>
      <c r="H77" s="6">
        <v>48</v>
      </c>
      <c r="I77" s="5">
        <f>SUM(F77:H77)</f>
        <v>143</v>
      </c>
      <c r="J77" s="7">
        <f>AVERAGE(F77:H77)</f>
        <v>47.666666666666664</v>
      </c>
      <c r="K77" s="8">
        <f>I77/300</f>
        <v>0.47666666666666668</v>
      </c>
      <c r="L77" s="5">
        <f>_xlfn.RANK.EQ(J77,$J$2:$J$1001,0)</f>
        <v>925</v>
      </c>
    </row>
    <row r="78" spans="1:12" x14ac:dyDescent="0.3">
      <c r="A78" s="5" t="s">
        <v>17</v>
      </c>
      <c r="B78" s="5" t="s">
        <v>21</v>
      </c>
      <c r="C78" s="5" t="s">
        <v>22</v>
      </c>
      <c r="D78" s="5" t="s">
        <v>11</v>
      </c>
      <c r="E78" s="5" t="s">
        <v>12</v>
      </c>
      <c r="F78" s="5">
        <v>41</v>
      </c>
      <c r="G78" s="5">
        <v>52</v>
      </c>
      <c r="H78" s="6">
        <v>51</v>
      </c>
      <c r="I78" s="5">
        <f>SUM(F78:H78)</f>
        <v>144</v>
      </c>
      <c r="J78" s="7">
        <f>AVERAGE(F78:H78)</f>
        <v>48</v>
      </c>
      <c r="K78" s="8">
        <f>I78/300</f>
        <v>0.48</v>
      </c>
      <c r="L78" s="5">
        <f>_xlfn.RANK.EQ(J78,$J$2:$J$1001,0)</f>
        <v>921</v>
      </c>
    </row>
    <row r="79" spans="1:12" x14ac:dyDescent="0.3">
      <c r="A79" s="5" t="s">
        <v>17</v>
      </c>
      <c r="B79" s="5" t="s">
        <v>18</v>
      </c>
      <c r="C79" s="5" t="s">
        <v>23</v>
      </c>
      <c r="D79" s="5" t="s">
        <v>20</v>
      </c>
      <c r="E79" s="5" t="s">
        <v>12</v>
      </c>
      <c r="F79" s="5">
        <v>55</v>
      </c>
      <c r="G79" s="5">
        <v>46</v>
      </c>
      <c r="H79" s="6">
        <v>43</v>
      </c>
      <c r="I79" s="5">
        <f>SUM(F79:H79)</f>
        <v>144</v>
      </c>
      <c r="J79" s="7">
        <f>AVERAGE(F79:H79)</f>
        <v>48</v>
      </c>
      <c r="K79" s="8">
        <f>I79/300</f>
        <v>0.48</v>
      </c>
      <c r="L79" s="5">
        <f>_xlfn.RANK.EQ(J79,$J$2:$J$1001,0)</f>
        <v>921</v>
      </c>
    </row>
    <row r="80" spans="1:12" x14ac:dyDescent="0.3">
      <c r="A80" s="5" t="s">
        <v>17</v>
      </c>
      <c r="B80" s="5" t="s">
        <v>9</v>
      </c>
      <c r="C80" s="5" t="s">
        <v>19</v>
      </c>
      <c r="D80" s="5" t="s">
        <v>11</v>
      </c>
      <c r="E80" s="5" t="s">
        <v>12</v>
      </c>
      <c r="F80" s="5">
        <v>61</v>
      </c>
      <c r="G80" s="5">
        <v>42</v>
      </c>
      <c r="H80" s="6">
        <v>41</v>
      </c>
      <c r="I80" s="5">
        <f>SUM(F80:H80)</f>
        <v>144</v>
      </c>
      <c r="J80" s="7">
        <f>AVERAGE(F80:H80)</f>
        <v>48</v>
      </c>
      <c r="K80" s="8">
        <f>I80/300</f>
        <v>0.48</v>
      </c>
      <c r="L80" s="5">
        <f>_xlfn.RANK.EQ(J80,$J$2:$J$1001,0)</f>
        <v>921</v>
      </c>
    </row>
    <row r="81" spans="1:12" x14ac:dyDescent="0.3">
      <c r="A81" s="5" t="s">
        <v>17</v>
      </c>
      <c r="B81" s="5" t="s">
        <v>21</v>
      </c>
      <c r="C81" s="5" t="s">
        <v>22</v>
      </c>
      <c r="D81" s="5" t="s">
        <v>11</v>
      </c>
      <c r="E81" s="5" t="s">
        <v>15</v>
      </c>
      <c r="F81" s="5">
        <v>55</v>
      </c>
      <c r="G81" s="5">
        <v>41</v>
      </c>
      <c r="H81" s="6">
        <v>48</v>
      </c>
      <c r="I81" s="5">
        <f>SUM(F81:H81)</f>
        <v>144</v>
      </c>
      <c r="J81" s="7">
        <f>AVERAGE(F81:H81)</f>
        <v>48</v>
      </c>
      <c r="K81" s="8">
        <f>I81/300</f>
        <v>0.48</v>
      </c>
      <c r="L81" s="5">
        <f>_xlfn.RANK.EQ(J81,$J$2:$J$1001,0)</f>
        <v>921</v>
      </c>
    </row>
    <row r="82" spans="1:12" x14ac:dyDescent="0.3">
      <c r="A82" s="5" t="s">
        <v>17</v>
      </c>
      <c r="B82" s="5" t="s">
        <v>9</v>
      </c>
      <c r="C82" s="5" t="s">
        <v>23</v>
      </c>
      <c r="D82" s="5" t="s">
        <v>20</v>
      </c>
      <c r="E82" s="5" t="s">
        <v>12</v>
      </c>
      <c r="F82" s="5">
        <v>48</v>
      </c>
      <c r="G82" s="5">
        <v>52</v>
      </c>
      <c r="H82" s="6">
        <v>45</v>
      </c>
      <c r="I82" s="5">
        <f>SUM(F82:H82)</f>
        <v>145</v>
      </c>
      <c r="J82" s="7">
        <f>AVERAGE(F82:H82)</f>
        <v>48.333333333333336</v>
      </c>
      <c r="K82" s="8">
        <f>I82/300</f>
        <v>0.48333333333333334</v>
      </c>
      <c r="L82" s="5">
        <f>_xlfn.RANK.EQ(J82,$J$2:$J$1001,0)</f>
        <v>915</v>
      </c>
    </row>
    <row r="83" spans="1:12" x14ac:dyDescent="0.3">
      <c r="A83" s="5" t="s">
        <v>17</v>
      </c>
      <c r="B83" s="5" t="s">
        <v>18</v>
      </c>
      <c r="C83" s="5" t="s">
        <v>23</v>
      </c>
      <c r="D83" s="5" t="s">
        <v>11</v>
      </c>
      <c r="E83" s="5" t="s">
        <v>15</v>
      </c>
      <c r="F83" s="5">
        <v>47</v>
      </c>
      <c r="G83" s="5">
        <v>49</v>
      </c>
      <c r="H83" s="6">
        <v>49</v>
      </c>
      <c r="I83" s="5">
        <f>SUM(F83:H83)</f>
        <v>145</v>
      </c>
      <c r="J83" s="7">
        <f>AVERAGE(F83:H83)</f>
        <v>48.333333333333336</v>
      </c>
      <c r="K83" s="8">
        <f>I83/300</f>
        <v>0.48333333333333334</v>
      </c>
      <c r="L83" s="5">
        <f>_xlfn.RANK.EQ(J83,$J$2:$J$1001,0)</f>
        <v>915</v>
      </c>
    </row>
    <row r="84" spans="1:12" x14ac:dyDescent="0.3">
      <c r="A84" s="5" t="s">
        <v>8</v>
      </c>
      <c r="B84" s="5" t="s">
        <v>13</v>
      </c>
      <c r="C84" s="5" t="s">
        <v>23</v>
      </c>
      <c r="D84" s="5" t="s">
        <v>20</v>
      </c>
      <c r="E84" s="5" t="s">
        <v>12</v>
      </c>
      <c r="F84" s="5">
        <v>44</v>
      </c>
      <c r="G84" s="5">
        <v>50</v>
      </c>
      <c r="H84" s="6">
        <v>51</v>
      </c>
      <c r="I84" s="5">
        <f>SUM(F84:H84)</f>
        <v>145</v>
      </c>
      <c r="J84" s="7">
        <f>AVERAGE(F84:H84)</f>
        <v>48.333333333333336</v>
      </c>
      <c r="K84" s="8">
        <f>I84/300</f>
        <v>0.48333333333333334</v>
      </c>
      <c r="L84" s="5">
        <f>_xlfn.RANK.EQ(J84,$J$2:$J$1001,0)</f>
        <v>915</v>
      </c>
    </row>
    <row r="85" spans="1:12" x14ac:dyDescent="0.3">
      <c r="A85" s="5" t="s">
        <v>17</v>
      </c>
      <c r="B85" s="5" t="s">
        <v>9</v>
      </c>
      <c r="C85" s="5" t="s">
        <v>10</v>
      </c>
      <c r="D85" s="5" t="s">
        <v>20</v>
      </c>
      <c r="E85" s="5" t="s">
        <v>12</v>
      </c>
      <c r="F85" s="5">
        <v>48</v>
      </c>
      <c r="G85" s="5">
        <v>51</v>
      </c>
      <c r="H85" s="6">
        <v>46</v>
      </c>
      <c r="I85" s="5">
        <f>SUM(F85:H85)</f>
        <v>145</v>
      </c>
      <c r="J85" s="7">
        <f>AVERAGE(F85:H85)</f>
        <v>48.333333333333336</v>
      </c>
      <c r="K85" s="8">
        <f>I85/300</f>
        <v>0.48333333333333334</v>
      </c>
      <c r="L85" s="5">
        <f>_xlfn.RANK.EQ(J85,$J$2:$J$1001,0)</f>
        <v>915</v>
      </c>
    </row>
    <row r="86" spans="1:12" x14ac:dyDescent="0.3">
      <c r="A86" s="5" t="s">
        <v>8</v>
      </c>
      <c r="B86" s="5" t="s">
        <v>9</v>
      </c>
      <c r="C86" s="5" t="s">
        <v>22</v>
      </c>
      <c r="D86" s="5" t="s">
        <v>11</v>
      </c>
      <c r="E86" s="5" t="s">
        <v>12</v>
      </c>
      <c r="F86" s="5">
        <v>42</v>
      </c>
      <c r="G86" s="5">
        <v>52</v>
      </c>
      <c r="H86" s="6">
        <v>51</v>
      </c>
      <c r="I86" s="5">
        <f>SUM(F86:H86)</f>
        <v>145</v>
      </c>
      <c r="J86" s="7">
        <f>AVERAGE(F86:H86)</f>
        <v>48.333333333333336</v>
      </c>
      <c r="K86" s="8">
        <f>I86/300</f>
        <v>0.48333333333333334</v>
      </c>
      <c r="L86" s="5">
        <f>_xlfn.RANK.EQ(J86,$J$2:$J$1001,0)</f>
        <v>915</v>
      </c>
    </row>
    <row r="87" spans="1:12" x14ac:dyDescent="0.3">
      <c r="A87" s="5" t="s">
        <v>17</v>
      </c>
      <c r="B87" s="5" t="s">
        <v>21</v>
      </c>
      <c r="C87" s="5" t="s">
        <v>10</v>
      </c>
      <c r="D87" s="5" t="s">
        <v>20</v>
      </c>
      <c r="E87" s="5" t="s">
        <v>12</v>
      </c>
      <c r="F87" s="5">
        <v>55</v>
      </c>
      <c r="G87" s="5">
        <v>46</v>
      </c>
      <c r="H87" s="6">
        <v>44</v>
      </c>
      <c r="I87" s="5">
        <f>SUM(F87:H87)</f>
        <v>145</v>
      </c>
      <c r="J87" s="7">
        <f>AVERAGE(F87:H87)</f>
        <v>48.333333333333336</v>
      </c>
      <c r="K87" s="8">
        <f>I87/300</f>
        <v>0.48333333333333334</v>
      </c>
      <c r="L87" s="5">
        <f>_xlfn.RANK.EQ(J87,$J$2:$J$1001,0)</f>
        <v>915</v>
      </c>
    </row>
    <row r="88" spans="1:12" x14ac:dyDescent="0.3">
      <c r="A88" s="5" t="s">
        <v>8</v>
      </c>
      <c r="B88" s="5" t="s">
        <v>9</v>
      </c>
      <c r="C88" s="5" t="s">
        <v>19</v>
      </c>
      <c r="D88" s="5" t="s">
        <v>11</v>
      </c>
      <c r="E88" s="5" t="s">
        <v>12</v>
      </c>
      <c r="F88" s="5">
        <v>47</v>
      </c>
      <c r="G88" s="5">
        <v>49</v>
      </c>
      <c r="H88" s="6">
        <v>50</v>
      </c>
      <c r="I88" s="5">
        <f>SUM(F88:H88)</f>
        <v>146</v>
      </c>
      <c r="J88" s="7">
        <f>AVERAGE(F88:H88)</f>
        <v>48.666666666666664</v>
      </c>
      <c r="K88" s="8">
        <f>I88/300</f>
        <v>0.48666666666666669</v>
      </c>
      <c r="L88" s="5">
        <f>_xlfn.RANK.EQ(J88,$J$2:$J$1001,0)</f>
        <v>911</v>
      </c>
    </row>
    <row r="89" spans="1:12" x14ac:dyDescent="0.3">
      <c r="A89" s="5" t="s">
        <v>17</v>
      </c>
      <c r="B89" s="5" t="s">
        <v>9</v>
      </c>
      <c r="C89" s="5" t="s">
        <v>23</v>
      </c>
      <c r="D89" s="5" t="s">
        <v>11</v>
      </c>
      <c r="E89" s="5" t="s">
        <v>15</v>
      </c>
      <c r="F89" s="5">
        <v>51</v>
      </c>
      <c r="G89" s="5">
        <v>54</v>
      </c>
      <c r="H89" s="6">
        <v>41</v>
      </c>
      <c r="I89" s="5">
        <f>SUM(F89:H89)</f>
        <v>146</v>
      </c>
      <c r="J89" s="7">
        <f>AVERAGE(F89:H89)</f>
        <v>48.666666666666664</v>
      </c>
      <c r="K89" s="8">
        <f>I89/300</f>
        <v>0.48666666666666669</v>
      </c>
      <c r="L89" s="5">
        <f>_xlfn.RANK.EQ(J89,$J$2:$J$1001,0)</f>
        <v>911</v>
      </c>
    </row>
    <row r="90" spans="1:12" x14ac:dyDescent="0.3">
      <c r="A90" s="5" t="s">
        <v>17</v>
      </c>
      <c r="B90" s="5" t="s">
        <v>13</v>
      </c>
      <c r="C90" s="5" t="s">
        <v>23</v>
      </c>
      <c r="D90" s="5" t="s">
        <v>20</v>
      </c>
      <c r="E90" s="5" t="s">
        <v>15</v>
      </c>
      <c r="F90" s="5">
        <v>45</v>
      </c>
      <c r="G90" s="5">
        <v>52</v>
      </c>
      <c r="H90" s="6">
        <v>49</v>
      </c>
      <c r="I90" s="5">
        <f>SUM(F90:H90)</f>
        <v>146</v>
      </c>
      <c r="J90" s="7">
        <f>AVERAGE(F90:H90)</f>
        <v>48.666666666666664</v>
      </c>
      <c r="K90" s="8">
        <f>I90/300</f>
        <v>0.48666666666666669</v>
      </c>
      <c r="L90" s="5">
        <f>_xlfn.RANK.EQ(J90,$J$2:$J$1001,0)</f>
        <v>911</v>
      </c>
    </row>
    <row r="91" spans="1:12" x14ac:dyDescent="0.3">
      <c r="A91" s="5" t="s">
        <v>17</v>
      </c>
      <c r="B91" s="5" t="s">
        <v>21</v>
      </c>
      <c r="C91" s="5" t="s">
        <v>23</v>
      </c>
      <c r="D91" s="5" t="s">
        <v>11</v>
      </c>
      <c r="E91" s="5" t="s">
        <v>12</v>
      </c>
      <c r="F91" s="5">
        <v>55</v>
      </c>
      <c r="G91" s="5">
        <v>47</v>
      </c>
      <c r="H91" s="6">
        <v>44</v>
      </c>
      <c r="I91" s="5">
        <f>SUM(F91:H91)</f>
        <v>146</v>
      </c>
      <c r="J91" s="7">
        <f>AVERAGE(F91:H91)</f>
        <v>48.666666666666664</v>
      </c>
      <c r="K91" s="8">
        <f>I91/300</f>
        <v>0.48666666666666669</v>
      </c>
      <c r="L91" s="5">
        <f>_xlfn.RANK.EQ(J91,$J$2:$J$1001,0)</f>
        <v>911</v>
      </c>
    </row>
    <row r="92" spans="1:12" x14ac:dyDescent="0.3">
      <c r="A92" s="5" t="s">
        <v>17</v>
      </c>
      <c r="B92" s="5" t="s">
        <v>18</v>
      </c>
      <c r="C92" s="5" t="s">
        <v>22</v>
      </c>
      <c r="D92" s="5" t="s">
        <v>11</v>
      </c>
      <c r="E92" s="5" t="s">
        <v>12</v>
      </c>
      <c r="F92" s="5">
        <v>57</v>
      </c>
      <c r="G92" s="5">
        <v>43</v>
      </c>
      <c r="H92" s="6">
        <v>47</v>
      </c>
      <c r="I92" s="5">
        <f>SUM(F92:H92)</f>
        <v>147</v>
      </c>
      <c r="J92" s="7">
        <f>AVERAGE(F92:H92)</f>
        <v>49</v>
      </c>
      <c r="K92" s="8">
        <f>I92/300</f>
        <v>0.49</v>
      </c>
      <c r="L92" s="5">
        <f>_xlfn.RANK.EQ(J92,$J$2:$J$1001,0)</f>
        <v>905</v>
      </c>
    </row>
    <row r="93" spans="1:12" x14ac:dyDescent="0.3">
      <c r="A93" s="5" t="s">
        <v>8</v>
      </c>
      <c r="B93" s="5" t="s">
        <v>24</v>
      </c>
      <c r="C93" s="5" t="s">
        <v>22</v>
      </c>
      <c r="D93" s="5" t="s">
        <v>11</v>
      </c>
      <c r="E93" s="5" t="s">
        <v>12</v>
      </c>
      <c r="F93" s="5">
        <v>50</v>
      </c>
      <c r="G93" s="5">
        <v>50</v>
      </c>
      <c r="H93" s="6">
        <v>47</v>
      </c>
      <c r="I93" s="5">
        <f>SUM(F93:H93)</f>
        <v>147</v>
      </c>
      <c r="J93" s="7">
        <f>AVERAGE(F93:H93)</f>
        <v>49</v>
      </c>
      <c r="K93" s="8">
        <f>I93/300</f>
        <v>0.49</v>
      </c>
      <c r="L93" s="5">
        <f>_xlfn.RANK.EQ(J93,$J$2:$J$1001,0)</f>
        <v>905</v>
      </c>
    </row>
    <row r="94" spans="1:12" x14ac:dyDescent="0.3">
      <c r="A94" s="5" t="s">
        <v>17</v>
      </c>
      <c r="B94" s="5" t="s">
        <v>21</v>
      </c>
      <c r="C94" s="5" t="s">
        <v>22</v>
      </c>
      <c r="D94" s="5" t="s">
        <v>11</v>
      </c>
      <c r="E94" s="5" t="s">
        <v>12</v>
      </c>
      <c r="F94" s="5">
        <v>53</v>
      </c>
      <c r="G94" s="5">
        <v>52</v>
      </c>
      <c r="H94" s="6">
        <v>42</v>
      </c>
      <c r="I94" s="5">
        <f>SUM(F94:H94)</f>
        <v>147</v>
      </c>
      <c r="J94" s="7">
        <f>AVERAGE(F94:H94)</f>
        <v>49</v>
      </c>
      <c r="K94" s="8">
        <f>I94/300</f>
        <v>0.49</v>
      </c>
      <c r="L94" s="5">
        <f>_xlfn.RANK.EQ(J94,$J$2:$J$1001,0)</f>
        <v>905</v>
      </c>
    </row>
    <row r="95" spans="1:12" x14ac:dyDescent="0.3">
      <c r="A95" s="5" t="s">
        <v>17</v>
      </c>
      <c r="B95" s="5" t="s">
        <v>13</v>
      </c>
      <c r="C95" s="5" t="s">
        <v>23</v>
      </c>
      <c r="D95" s="5" t="s">
        <v>11</v>
      </c>
      <c r="E95" s="5" t="s">
        <v>12</v>
      </c>
      <c r="F95" s="5">
        <v>51</v>
      </c>
      <c r="G95" s="5">
        <v>52</v>
      </c>
      <c r="H95" s="6">
        <v>44</v>
      </c>
      <c r="I95" s="5">
        <f>SUM(F95:H95)</f>
        <v>147</v>
      </c>
      <c r="J95" s="7">
        <f>AVERAGE(F95:H95)</f>
        <v>49</v>
      </c>
      <c r="K95" s="8">
        <f>I95/300</f>
        <v>0.49</v>
      </c>
      <c r="L95" s="5">
        <f>_xlfn.RANK.EQ(J95,$J$2:$J$1001,0)</f>
        <v>905</v>
      </c>
    </row>
    <row r="96" spans="1:12" x14ac:dyDescent="0.3">
      <c r="A96" s="5" t="s">
        <v>8</v>
      </c>
      <c r="B96" s="5" t="s">
        <v>9</v>
      </c>
      <c r="C96" s="5" t="s">
        <v>23</v>
      </c>
      <c r="D96" s="5" t="s">
        <v>11</v>
      </c>
      <c r="E96" s="5" t="s">
        <v>12</v>
      </c>
      <c r="F96" s="5">
        <v>41</v>
      </c>
      <c r="G96" s="5">
        <v>55</v>
      </c>
      <c r="H96" s="6">
        <v>51</v>
      </c>
      <c r="I96" s="5">
        <f>SUM(F96:H96)</f>
        <v>147</v>
      </c>
      <c r="J96" s="7">
        <f>AVERAGE(F96:H96)</f>
        <v>49</v>
      </c>
      <c r="K96" s="8">
        <f>I96/300</f>
        <v>0.49</v>
      </c>
      <c r="L96" s="5">
        <f>_xlfn.RANK.EQ(J96,$J$2:$J$1001,0)</f>
        <v>905</v>
      </c>
    </row>
    <row r="97" spans="1:12" x14ac:dyDescent="0.3">
      <c r="A97" s="5" t="s">
        <v>17</v>
      </c>
      <c r="B97" s="5" t="s">
        <v>9</v>
      </c>
      <c r="C97" s="5" t="s">
        <v>22</v>
      </c>
      <c r="D97" s="5" t="s">
        <v>11</v>
      </c>
      <c r="E97" s="5" t="s">
        <v>15</v>
      </c>
      <c r="F97" s="5">
        <v>52</v>
      </c>
      <c r="G97" s="5">
        <v>49</v>
      </c>
      <c r="H97" s="6">
        <v>46</v>
      </c>
      <c r="I97" s="5">
        <f>SUM(F97:H97)</f>
        <v>147</v>
      </c>
      <c r="J97" s="7">
        <f>AVERAGE(F97:H97)</f>
        <v>49</v>
      </c>
      <c r="K97" s="8">
        <f>I97/300</f>
        <v>0.49</v>
      </c>
      <c r="L97" s="5">
        <f>_xlfn.RANK.EQ(J97,$J$2:$J$1001,0)</f>
        <v>905</v>
      </c>
    </row>
    <row r="98" spans="1:12" x14ac:dyDescent="0.3">
      <c r="A98" s="5" t="s">
        <v>17</v>
      </c>
      <c r="B98" s="5" t="s">
        <v>18</v>
      </c>
      <c r="C98" s="5" t="s">
        <v>19</v>
      </c>
      <c r="D98" s="5" t="s">
        <v>20</v>
      </c>
      <c r="E98" s="5" t="s">
        <v>12</v>
      </c>
      <c r="F98" s="5">
        <v>47</v>
      </c>
      <c r="G98" s="5">
        <v>57</v>
      </c>
      <c r="H98" s="6">
        <v>44</v>
      </c>
      <c r="I98" s="5">
        <f>SUM(F98:H98)</f>
        <v>148</v>
      </c>
      <c r="J98" s="7">
        <f>AVERAGE(F98:H98)</f>
        <v>49.333333333333336</v>
      </c>
      <c r="K98" s="8">
        <f>I98/300</f>
        <v>0.49333333333333335</v>
      </c>
      <c r="L98" s="5">
        <f>_xlfn.RANK.EQ(J98,$J$2:$J$1001,0)</f>
        <v>901</v>
      </c>
    </row>
    <row r="99" spans="1:12" x14ac:dyDescent="0.3">
      <c r="A99" s="5" t="s">
        <v>8</v>
      </c>
      <c r="B99" s="5" t="s">
        <v>9</v>
      </c>
      <c r="C99" s="5" t="s">
        <v>22</v>
      </c>
      <c r="D99" s="5" t="s">
        <v>20</v>
      </c>
      <c r="E99" s="5" t="s">
        <v>12</v>
      </c>
      <c r="F99" s="5">
        <v>38</v>
      </c>
      <c r="G99" s="5">
        <v>60</v>
      </c>
      <c r="H99" s="6">
        <v>50</v>
      </c>
      <c r="I99" s="5">
        <f>SUM(F99:H99)</f>
        <v>148</v>
      </c>
      <c r="J99" s="7">
        <f>AVERAGE(F99:H99)</f>
        <v>49.333333333333336</v>
      </c>
      <c r="K99" s="8">
        <f>I99/300</f>
        <v>0.49333333333333335</v>
      </c>
      <c r="L99" s="5">
        <f>_xlfn.RANK.EQ(J99,$J$2:$J$1001,0)</f>
        <v>901</v>
      </c>
    </row>
    <row r="100" spans="1:12" x14ac:dyDescent="0.3">
      <c r="A100" s="5" t="s">
        <v>8</v>
      </c>
      <c r="B100" s="5" t="s">
        <v>13</v>
      </c>
      <c r="C100" s="5" t="s">
        <v>10</v>
      </c>
      <c r="D100" s="5" t="s">
        <v>20</v>
      </c>
      <c r="E100" s="5" t="s">
        <v>15</v>
      </c>
      <c r="F100" s="5">
        <v>43</v>
      </c>
      <c r="G100" s="5">
        <v>51</v>
      </c>
      <c r="H100" s="6">
        <v>54</v>
      </c>
      <c r="I100" s="5">
        <f>SUM(F100:H100)</f>
        <v>148</v>
      </c>
      <c r="J100" s="7">
        <f>AVERAGE(F100:H100)</f>
        <v>49.333333333333336</v>
      </c>
      <c r="K100" s="8">
        <f>I100/300</f>
        <v>0.49333333333333335</v>
      </c>
      <c r="L100" s="5">
        <f>_xlfn.RANK.EQ(J100,$J$2:$J$1001,0)</f>
        <v>901</v>
      </c>
    </row>
    <row r="101" spans="1:12" x14ac:dyDescent="0.3">
      <c r="A101" s="5" t="s">
        <v>17</v>
      </c>
      <c r="B101" s="5" t="s">
        <v>18</v>
      </c>
      <c r="C101" s="5" t="s">
        <v>19</v>
      </c>
      <c r="D101" s="5" t="s">
        <v>20</v>
      </c>
      <c r="E101" s="5" t="s">
        <v>15</v>
      </c>
      <c r="F101" s="5">
        <v>40</v>
      </c>
      <c r="G101" s="5">
        <v>55</v>
      </c>
      <c r="H101" s="6">
        <v>53</v>
      </c>
      <c r="I101" s="5">
        <f>SUM(F101:H101)</f>
        <v>148</v>
      </c>
      <c r="J101" s="7">
        <f>AVERAGE(F101:H101)</f>
        <v>49.333333333333336</v>
      </c>
      <c r="K101" s="8">
        <f>I101/300</f>
        <v>0.49333333333333335</v>
      </c>
      <c r="L101" s="5">
        <f>_xlfn.RANK.EQ(J101,$J$2:$J$1001,0)</f>
        <v>901</v>
      </c>
    </row>
    <row r="102" spans="1:12" x14ac:dyDescent="0.3">
      <c r="A102" s="5" t="s">
        <v>17</v>
      </c>
      <c r="B102" s="5" t="s">
        <v>13</v>
      </c>
      <c r="C102" s="5" t="s">
        <v>14</v>
      </c>
      <c r="D102" s="5" t="s">
        <v>11</v>
      </c>
      <c r="E102" s="5" t="s">
        <v>12</v>
      </c>
      <c r="F102" s="5">
        <v>58</v>
      </c>
      <c r="G102" s="5">
        <v>49</v>
      </c>
      <c r="H102" s="6">
        <v>42</v>
      </c>
      <c r="I102" s="5">
        <f>SUM(F102:H102)</f>
        <v>149</v>
      </c>
      <c r="J102" s="7">
        <f>AVERAGE(F102:H102)</f>
        <v>49.666666666666664</v>
      </c>
      <c r="K102" s="8">
        <f>I102/300</f>
        <v>0.49666666666666665</v>
      </c>
      <c r="L102" s="5">
        <f>_xlfn.RANK.EQ(J102,$J$2:$J$1001,0)</f>
        <v>898</v>
      </c>
    </row>
    <row r="103" spans="1:12" x14ac:dyDescent="0.3">
      <c r="A103" s="5" t="s">
        <v>8</v>
      </c>
      <c r="B103" s="5" t="s">
        <v>13</v>
      </c>
      <c r="C103" s="5" t="s">
        <v>23</v>
      </c>
      <c r="D103" s="5" t="s">
        <v>20</v>
      </c>
      <c r="E103" s="5" t="s">
        <v>12</v>
      </c>
      <c r="F103" s="5">
        <v>43</v>
      </c>
      <c r="G103" s="5">
        <v>53</v>
      </c>
      <c r="H103" s="6">
        <v>53</v>
      </c>
      <c r="I103" s="5">
        <f>SUM(F103:H103)</f>
        <v>149</v>
      </c>
      <c r="J103" s="7">
        <f>AVERAGE(F103:H103)</f>
        <v>49.666666666666664</v>
      </c>
      <c r="K103" s="8">
        <f>I103/300</f>
        <v>0.49666666666666665</v>
      </c>
      <c r="L103" s="5">
        <f>_xlfn.RANK.EQ(J103,$J$2:$J$1001,0)</f>
        <v>898</v>
      </c>
    </row>
    <row r="104" spans="1:12" x14ac:dyDescent="0.3">
      <c r="A104" s="5" t="s">
        <v>17</v>
      </c>
      <c r="B104" s="5" t="s">
        <v>9</v>
      </c>
      <c r="C104" s="5" t="s">
        <v>22</v>
      </c>
      <c r="D104" s="5" t="s">
        <v>11</v>
      </c>
      <c r="E104" s="5" t="s">
        <v>12</v>
      </c>
      <c r="F104" s="5">
        <v>52</v>
      </c>
      <c r="G104" s="5">
        <v>48</v>
      </c>
      <c r="H104" s="6">
        <v>49</v>
      </c>
      <c r="I104" s="5">
        <f>SUM(F104:H104)</f>
        <v>149</v>
      </c>
      <c r="J104" s="7">
        <f>AVERAGE(F104:H104)</f>
        <v>49.666666666666664</v>
      </c>
      <c r="K104" s="8">
        <f>I104/300</f>
        <v>0.49666666666666665</v>
      </c>
      <c r="L104" s="5">
        <f>_xlfn.RANK.EQ(J104,$J$2:$J$1001,0)</f>
        <v>898</v>
      </c>
    </row>
    <row r="105" spans="1:12" x14ac:dyDescent="0.3">
      <c r="A105" s="5" t="s">
        <v>17</v>
      </c>
      <c r="B105" s="5" t="s">
        <v>21</v>
      </c>
      <c r="C105" s="5" t="s">
        <v>10</v>
      </c>
      <c r="D105" s="5" t="s">
        <v>11</v>
      </c>
      <c r="E105" s="5" t="s">
        <v>12</v>
      </c>
      <c r="F105" s="5">
        <v>54</v>
      </c>
      <c r="G105" s="5">
        <v>49</v>
      </c>
      <c r="H105" s="6">
        <v>47</v>
      </c>
      <c r="I105" s="5">
        <f>SUM(F105:H105)</f>
        <v>150</v>
      </c>
      <c r="J105" s="7">
        <f>AVERAGE(F105:H105)</f>
        <v>50</v>
      </c>
      <c r="K105" s="8">
        <f>I105/300</f>
        <v>0.5</v>
      </c>
      <c r="L105" s="5">
        <f>_xlfn.RANK.EQ(J105,$J$2:$J$1001,0)</f>
        <v>892</v>
      </c>
    </row>
    <row r="106" spans="1:12" x14ac:dyDescent="0.3">
      <c r="A106" s="5" t="s">
        <v>8</v>
      </c>
      <c r="B106" s="5" t="s">
        <v>21</v>
      </c>
      <c r="C106" s="5" t="s">
        <v>23</v>
      </c>
      <c r="D106" s="5" t="s">
        <v>20</v>
      </c>
      <c r="E106" s="5" t="s">
        <v>15</v>
      </c>
      <c r="F106" s="5">
        <v>35</v>
      </c>
      <c r="G106" s="5">
        <v>55</v>
      </c>
      <c r="H106" s="6">
        <v>60</v>
      </c>
      <c r="I106" s="5">
        <f>SUM(F106:H106)</f>
        <v>150</v>
      </c>
      <c r="J106" s="7">
        <f>AVERAGE(F106:H106)</f>
        <v>50</v>
      </c>
      <c r="K106" s="8">
        <f>I106/300</f>
        <v>0.5</v>
      </c>
      <c r="L106" s="5">
        <f>_xlfn.RANK.EQ(J106,$J$2:$J$1001,0)</f>
        <v>892</v>
      </c>
    </row>
    <row r="107" spans="1:12" x14ac:dyDescent="0.3">
      <c r="A107" s="5" t="s">
        <v>8</v>
      </c>
      <c r="B107" s="5" t="s">
        <v>13</v>
      </c>
      <c r="C107" s="5" t="s">
        <v>22</v>
      </c>
      <c r="D107" s="5" t="s">
        <v>20</v>
      </c>
      <c r="E107" s="5" t="s">
        <v>12</v>
      </c>
      <c r="F107" s="5">
        <v>35</v>
      </c>
      <c r="G107" s="5">
        <v>61</v>
      </c>
      <c r="H107" s="6">
        <v>54</v>
      </c>
      <c r="I107" s="5">
        <f>SUM(F107:H107)</f>
        <v>150</v>
      </c>
      <c r="J107" s="7">
        <f>AVERAGE(F107:H107)</f>
        <v>50</v>
      </c>
      <c r="K107" s="8">
        <f>I107/300</f>
        <v>0.5</v>
      </c>
      <c r="L107" s="5">
        <f>_xlfn.RANK.EQ(J107,$J$2:$J$1001,0)</f>
        <v>892</v>
      </c>
    </row>
    <row r="108" spans="1:12" x14ac:dyDescent="0.3">
      <c r="A108" s="5" t="s">
        <v>8</v>
      </c>
      <c r="B108" s="5" t="s">
        <v>13</v>
      </c>
      <c r="C108" s="5" t="s">
        <v>23</v>
      </c>
      <c r="D108" s="5" t="s">
        <v>11</v>
      </c>
      <c r="E108" s="5" t="s">
        <v>15</v>
      </c>
      <c r="F108" s="5">
        <v>44</v>
      </c>
      <c r="G108" s="5">
        <v>51</v>
      </c>
      <c r="H108" s="6">
        <v>55</v>
      </c>
      <c r="I108" s="5">
        <f>SUM(F108:H108)</f>
        <v>150</v>
      </c>
      <c r="J108" s="7">
        <f>AVERAGE(F108:H108)</f>
        <v>50</v>
      </c>
      <c r="K108" s="8">
        <f>I108/300</f>
        <v>0.5</v>
      </c>
      <c r="L108" s="5">
        <f>_xlfn.RANK.EQ(J108,$J$2:$J$1001,0)</f>
        <v>892</v>
      </c>
    </row>
    <row r="109" spans="1:12" x14ac:dyDescent="0.3">
      <c r="A109" s="5" t="s">
        <v>8</v>
      </c>
      <c r="B109" s="5" t="s">
        <v>18</v>
      </c>
      <c r="C109" s="5" t="s">
        <v>19</v>
      </c>
      <c r="D109" s="5" t="s">
        <v>20</v>
      </c>
      <c r="E109" s="5" t="s">
        <v>12</v>
      </c>
      <c r="F109" s="5">
        <v>37</v>
      </c>
      <c r="G109" s="5">
        <v>57</v>
      </c>
      <c r="H109" s="6">
        <v>56</v>
      </c>
      <c r="I109" s="5">
        <f>SUM(F109:H109)</f>
        <v>150</v>
      </c>
      <c r="J109" s="7">
        <f>AVERAGE(F109:H109)</f>
        <v>50</v>
      </c>
      <c r="K109" s="8">
        <f>I109/300</f>
        <v>0.5</v>
      </c>
      <c r="L109" s="5">
        <f>_xlfn.RANK.EQ(J109,$J$2:$J$1001,0)</f>
        <v>892</v>
      </c>
    </row>
    <row r="110" spans="1:12" x14ac:dyDescent="0.3">
      <c r="A110" s="5" t="s">
        <v>8</v>
      </c>
      <c r="B110" s="5" t="s">
        <v>13</v>
      </c>
      <c r="C110" s="5" t="s">
        <v>19</v>
      </c>
      <c r="D110" s="5" t="s">
        <v>11</v>
      </c>
      <c r="E110" s="5" t="s">
        <v>12</v>
      </c>
      <c r="F110" s="5">
        <v>40</v>
      </c>
      <c r="G110" s="5">
        <v>59</v>
      </c>
      <c r="H110" s="6">
        <v>51</v>
      </c>
      <c r="I110" s="5">
        <f>SUM(F110:H110)</f>
        <v>150</v>
      </c>
      <c r="J110" s="7">
        <f>AVERAGE(F110:H110)</f>
        <v>50</v>
      </c>
      <c r="K110" s="8">
        <f>I110/300</f>
        <v>0.5</v>
      </c>
      <c r="L110" s="5">
        <f>_xlfn.RANK.EQ(J110,$J$2:$J$1001,0)</f>
        <v>892</v>
      </c>
    </row>
    <row r="111" spans="1:12" x14ac:dyDescent="0.3">
      <c r="A111" s="5" t="s">
        <v>17</v>
      </c>
      <c r="B111" s="5" t="s">
        <v>21</v>
      </c>
      <c r="C111" s="5" t="s">
        <v>14</v>
      </c>
      <c r="D111" s="5" t="s">
        <v>11</v>
      </c>
      <c r="E111" s="5" t="s">
        <v>12</v>
      </c>
      <c r="F111" s="5">
        <v>44</v>
      </c>
      <c r="G111" s="5">
        <v>54</v>
      </c>
      <c r="H111" s="6">
        <v>53</v>
      </c>
      <c r="I111" s="5">
        <f>SUM(F111:H111)</f>
        <v>151</v>
      </c>
      <c r="J111" s="7">
        <f>AVERAGE(F111:H111)</f>
        <v>50.333333333333336</v>
      </c>
      <c r="K111" s="8">
        <f>I111/300</f>
        <v>0.5033333333333333</v>
      </c>
      <c r="L111" s="5">
        <f>_xlfn.RANK.EQ(J111,$J$2:$J$1001,0)</f>
        <v>884</v>
      </c>
    </row>
    <row r="112" spans="1:12" x14ac:dyDescent="0.3">
      <c r="A112" s="5" t="s">
        <v>17</v>
      </c>
      <c r="B112" s="5" t="s">
        <v>18</v>
      </c>
      <c r="C112" s="5" t="s">
        <v>14</v>
      </c>
      <c r="D112" s="5" t="s">
        <v>20</v>
      </c>
      <c r="E112" s="5" t="s">
        <v>15</v>
      </c>
      <c r="F112" s="5">
        <v>50</v>
      </c>
      <c r="G112" s="5">
        <v>47</v>
      </c>
      <c r="H112" s="6">
        <v>54</v>
      </c>
      <c r="I112" s="5">
        <f>SUM(F112:H112)</f>
        <v>151</v>
      </c>
      <c r="J112" s="7">
        <f>AVERAGE(F112:H112)</f>
        <v>50.333333333333336</v>
      </c>
      <c r="K112" s="8">
        <f>I112/300</f>
        <v>0.5033333333333333</v>
      </c>
      <c r="L112" s="5">
        <f>_xlfn.RANK.EQ(J112,$J$2:$J$1001,0)</f>
        <v>884</v>
      </c>
    </row>
    <row r="113" spans="1:12" x14ac:dyDescent="0.3">
      <c r="A113" s="5" t="s">
        <v>17</v>
      </c>
      <c r="B113" s="5" t="s">
        <v>9</v>
      </c>
      <c r="C113" s="5" t="s">
        <v>22</v>
      </c>
      <c r="D113" s="5" t="s">
        <v>11</v>
      </c>
      <c r="E113" s="5" t="s">
        <v>15</v>
      </c>
      <c r="F113" s="5">
        <v>60</v>
      </c>
      <c r="G113" s="5">
        <v>44</v>
      </c>
      <c r="H113" s="6">
        <v>47</v>
      </c>
      <c r="I113" s="5">
        <f>SUM(F113:H113)</f>
        <v>151</v>
      </c>
      <c r="J113" s="7">
        <f>AVERAGE(F113:H113)</f>
        <v>50.333333333333336</v>
      </c>
      <c r="K113" s="8">
        <f>I113/300</f>
        <v>0.5033333333333333</v>
      </c>
      <c r="L113" s="5">
        <f>_xlfn.RANK.EQ(J113,$J$2:$J$1001,0)</f>
        <v>884</v>
      </c>
    </row>
    <row r="114" spans="1:12" x14ac:dyDescent="0.3">
      <c r="A114" s="5" t="s">
        <v>8</v>
      </c>
      <c r="B114" s="5" t="s">
        <v>18</v>
      </c>
      <c r="C114" s="5" t="s">
        <v>10</v>
      </c>
      <c r="D114" s="5" t="s">
        <v>11</v>
      </c>
      <c r="E114" s="5" t="s">
        <v>12</v>
      </c>
      <c r="F114" s="5">
        <v>51</v>
      </c>
      <c r="G114" s="5">
        <v>49</v>
      </c>
      <c r="H114" s="6">
        <v>51</v>
      </c>
      <c r="I114" s="5">
        <f>SUM(F114:H114)</f>
        <v>151</v>
      </c>
      <c r="J114" s="7">
        <f>AVERAGE(F114:H114)</f>
        <v>50.333333333333336</v>
      </c>
      <c r="K114" s="8">
        <f>I114/300</f>
        <v>0.5033333333333333</v>
      </c>
      <c r="L114" s="5">
        <f>_xlfn.RANK.EQ(J114,$J$2:$J$1001,0)</f>
        <v>884</v>
      </c>
    </row>
    <row r="115" spans="1:12" x14ac:dyDescent="0.3">
      <c r="A115" s="5" t="s">
        <v>8</v>
      </c>
      <c r="B115" s="5" t="s">
        <v>24</v>
      </c>
      <c r="C115" s="5" t="s">
        <v>14</v>
      </c>
      <c r="D115" s="5" t="s">
        <v>20</v>
      </c>
      <c r="E115" s="5" t="s">
        <v>15</v>
      </c>
      <c r="F115" s="5">
        <v>42</v>
      </c>
      <c r="G115" s="5">
        <v>55</v>
      </c>
      <c r="H115" s="6">
        <v>54</v>
      </c>
      <c r="I115" s="5">
        <f>SUM(F115:H115)</f>
        <v>151</v>
      </c>
      <c r="J115" s="7">
        <f>AVERAGE(F115:H115)</f>
        <v>50.333333333333336</v>
      </c>
      <c r="K115" s="8">
        <f>I115/300</f>
        <v>0.5033333333333333</v>
      </c>
      <c r="L115" s="5">
        <f>_xlfn.RANK.EQ(J115,$J$2:$J$1001,0)</f>
        <v>884</v>
      </c>
    </row>
    <row r="116" spans="1:12" x14ac:dyDescent="0.3">
      <c r="A116" s="5" t="s">
        <v>17</v>
      </c>
      <c r="B116" s="5" t="s">
        <v>13</v>
      </c>
      <c r="C116" s="5" t="s">
        <v>14</v>
      </c>
      <c r="D116" s="5" t="s">
        <v>20</v>
      </c>
      <c r="E116" s="5" t="s">
        <v>15</v>
      </c>
      <c r="F116" s="5">
        <v>50</v>
      </c>
      <c r="G116" s="5">
        <v>48</v>
      </c>
      <c r="H116" s="6">
        <v>53</v>
      </c>
      <c r="I116" s="5">
        <f>SUM(F116:H116)</f>
        <v>151</v>
      </c>
      <c r="J116" s="7">
        <f>AVERAGE(F116:H116)</f>
        <v>50.333333333333336</v>
      </c>
      <c r="K116" s="8">
        <f>I116/300</f>
        <v>0.5033333333333333</v>
      </c>
      <c r="L116" s="5">
        <f>_xlfn.RANK.EQ(J116,$J$2:$J$1001,0)</f>
        <v>884</v>
      </c>
    </row>
    <row r="117" spans="1:12" x14ac:dyDescent="0.3">
      <c r="A117" s="5" t="s">
        <v>17</v>
      </c>
      <c r="B117" s="5" t="s">
        <v>13</v>
      </c>
      <c r="C117" s="5" t="s">
        <v>19</v>
      </c>
      <c r="D117" s="5" t="s">
        <v>20</v>
      </c>
      <c r="E117" s="5" t="s">
        <v>12</v>
      </c>
      <c r="F117" s="5">
        <v>49</v>
      </c>
      <c r="G117" s="5">
        <v>51</v>
      </c>
      <c r="H117" s="6">
        <v>51</v>
      </c>
      <c r="I117" s="5">
        <f>SUM(F117:H117)</f>
        <v>151</v>
      </c>
      <c r="J117" s="7">
        <f>AVERAGE(F117:H117)</f>
        <v>50.333333333333336</v>
      </c>
      <c r="K117" s="8">
        <f>I117/300</f>
        <v>0.5033333333333333</v>
      </c>
      <c r="L117" s="5">
        <f>_xlfn.RANK.EQ(J117,$J$2:$J$1001,0)</f>
        <v>884</v>
      </c>
    </row>
    <row r="118" spans="1:12" x14ac:dyDescent="0.3">
      <c r="A118" s="5" t="s">
        <v>17</v>
      </c>
      <c r="B118" s="5" t="s">
        <v>9</v>
      </c>
      <c r="C118" s="5" t="s">
        <v>23</v>
      </c>
      <c r="D118" s="5" t="s">
        <v>20</v>
      </c>
      <c r="E118" s="5" t="s">
        <v>15</v>
      </c>
      <c r="F118" s="5">
        <v>49</v>
      </c>
      <c r="G118" s="5">
        <v>50</v>
      </c>
      <c r="H118" s="6">
        <v>52</v>
      </c>
      <c r="I118" s="5">
        <f>SUM(F118:H118)</f>
        <v>151</v>
      </c>
      <c r="J118" s="7">
        <f>AVERAGE(F118:H118)</f>
        <v>50.333333333333336</v>
      </c>
      <c r="K118" s="8">
        <f>I118/300</f>
        <v>0.5033333333333333</v>
      </c>
      <c r="L118" s="5">
        <f>_xlfn.RANK.EQ(J118,$J$2:$J$1001,0)</f>
        <v>884</v>
      </c>
    </row>
    <row r="119" spans="1:12" x14ac:dyDescent="0.3">
      <c r="A119" s="5" t="s">
        <v>8</v>
      </c>
      <c r="B119" s="5" t="s">
        <v>13</v>
      </c>
      <c r="C119" s="5" t="s">
        <v>16</v>
      </c>
      <c r="D119" s="5" t="s">
        <v>20</v>
      </c>
      <c r="E119" s="5" t="s">
        <v>12</v>
      </c>
      <c r="F119" s="5">
        <v>40</v>
      </c>
      <c r="G119" s="5">
        <v>58</v>
      </c>
      <c r="H119" s="6">
        <v>54</v>
      </c>
      <c r="I119" s="5">
        <f>SUM(F119:H119)</f>
        <v>152</v>
      </c>
      <c r="J119" s="7">
        <f>AVERAGE(F119:H119)</f>
        <v>50.666666666666664</v>
      </c>
      <c r="K119" s="8">
        <f>I119/300</f>
        <v>0.50666666666666671</v>
      </c>
      <c r="L119" s="5">
        <f>_xlfn.RANK.EQ(J119,$J$2:$J$1001,0)</f>
        <v>881</v>
      </c>
    </row>
    <row r="120" spans="1:12" x14ac:dyDescent="0.3">
      <c r="A120" s="5" t="s">
        <v>17</v>
      </c>
      <c r="B120" s="5" t="s">
        <v>21</v>
      </c>
      <c r="C120" s="5" t="s">
        <v>14</v>
      </c>
      <c r="D120" s="5" t="s">
        <v>20</v>
      </c>
      <c r="E120" s="5" t="s">
        <v>12</v>
      </c>
      <c r="F120" s="5">
        <v>49</v>
      </c>
      <c r="G120" s="5">
        <v>57</v>
      </c>
      <c r="H120" s="6">
        <v>46</v>
      </c>
      <c r="I120" s="5">
        <f>SUM(F120:H120)</f>
        <v>152</v>
      </c>
      <c r="J120" s="7">
        <f>AVERAGE(F120:H120)</f>
        <v>50.666666666666664</v>
      </c>
      <c r="K120" s="8">
        <f>I120/300</f>
        <v>0.50666666666666671</v>
      </c>
      <c r="L120" s="5">
        <f>_xlfn.RANK.EQ(J120,$J$2:$J$1001,0)</f>
        <v>881</v>
      </c>
    </row>
    <row r="121" spans="1:12" x14ac:dyDescent="0.3">
      <c r="A121" s="5" t="s">
        <v>17</v>
      </c>
      <c r="B121" s="5" t="s">
        <v>24</v>
      </c>
      <c r="C121" s="5" t="s">
        <v>14</v>
      </c>
      <c r="D121" s="5" t="s">
        <v>20</v>
      </c>
      <c r="E121" s="5" t="s">
        <v>15</v>
      </c>
      <c r="F121" s="5">
        <v>49</v>
      </c>
      <c r="G121" s="5">
        <v>52</v>
      </c>
      <c r="H121" s="6">
        <v>51</v>
      </c>
      <c r="I121" s="5">
        <f>SUM(F121:H121)</f>
        <v>152</v>
      </c>
      <c r="J121" s="7">
        <f>AVERAGE(F121:H121)</f>
        <v>50.666666666666664</v>
      </c>
      <c r="K121" s="8">
        <f>I121/300</f>
        <v>0.50666666666666671</v>
      </c>
      <c r="L121" s="5">
        <f>_xlfn.RANK.EQ(J121,$J$2:$J$1001,0)</f>
        <v>881</v>
      </c>
    </row>
    <row r="122" spans="1:12" x14ac:dyDescent="0.3">
      <c r="A122" s="5" t="s">
        <v>8</v>
      </c>
      <c r="B122" s="5" t="s">
        <v>9</v>
      </c>
      <c r="C122" s="5" t="s">
        <v>14</v>
      </c>
      <c r="D122" s="5" t="s">
        <v>20</v>
      </c>
      <c r="E122" s="5" t="s">
        <v>12</v>
      </c>
      <c r="F122" s="5">
        <v>45</v>
      </c>
      <c r="G122" s="5">
        <v>53</v>
      </c>
      <c r="H122" s="6">
        <v>55</v>
      </c>
      <c r="I122" s="5">
        <f>SUM(F122:H122)</f>
        <v>153</v>
      </c>
      <c r="J122" s="7">
        <f>AVERAGE(F122:H122)</f>
        <v>51</v>
      </c>
      <c r="K122" s="8">
        <f>I122/300</f>
        <v>0.51</v>
      </c>
      <c r="L122" s="5">
        <f>_xlfn.RANK.EQ(J122,$J$2:$J$1001,0)</f>
        <v>876</v>
      </c>
    </row>
    <row r="123" spans="1:12" x14ac:dyDescent="0.3">
      <c r="A123" s="5" t="s">
        <v>17</v>
      </c>
      <c r="B123" s="5" t="s">
        <v>24</v>
      </c>
      <c r="C123" s="5" t="s">
        <v>14</v>
      </c>
      <c r="D123" s="5" t="s">
        <v>11</v>
      </c>
      <c r="E123" s="5" t="s">
        <v>12</v>
      </c>
      <c r="F123" s="5">
        <v>59</v>
      </c>
      <c r="G123" s="5">
        <v>51</v>
      </c>
      <c r="H123" s="6">
        <v>43</v>
      </c>
      <c r="I123" s="5">
        <f>SUM(F123:H123)</f>
        <v>153</v>
      </c>
      <c r="J123" s="7">
        <f>AVERAGE(F123:H123)</f>
        <v>51</v>
      </c>
      <c r="K123" s="8">
        <f>I123/300</f>
        <v>0.51</v>
      </c>
      <c r="L123" s="5">
        <f>_xlfn.RANK.EQ(J123,$J$2:$J$1001,0)</f>
        <v>876</v>
      </c>
    </row>
    <row r="124" spans="1:12" x14ac:dyDescent="0.3">
      <c r="A124" s="5" t="s">
        <v>17</v>
      </c>
      <c r="B124" s="5" t="s">
        <v>9</v>
      </c>
      <c r="C124" s="5" t="s">
        <v>14</v>
      </c>
      <c r="D124" s="5" t="s">
        <v>20</v>
      </c>
      <c r="E124" s="5" t="s">
        <v>12</v>
      </c>
      <c r="F124" s="5">
        <v>54</v>
      </c>
      <c r="G124" s="5">
        <v>54</v>
      </c>
      <c r="H124" s="6">
        <v>45</v>
      </c>
      <c r="I124" s="5">
        <f>SUM(F124:H124)</f>
        <v>153</v>
      </c>
      <c r="J124" s="7">
        <f>AVERAGE(F124:H124)</f>
        <v>51</v>
      </c>
      <c r="K124" s="8">
        <f>I124/300</f>
        <v>0.51</v>
      </c>
      <c r="L124" s="5">
        <f>_xlfn.RANK.EQ(J124,$J$2:$J$1001,0)</f>
        <v>876</v>
      </c>
    </row>
    <row r="125" spans="1:12" x14ac:dyDescent="0.3">
      <c r="A125" s="5" t="s">
        <v>8</v>
      </c>
      <c r="B125" s="5" t="s">
        <v>21</v>
      </c>
      <c r="C125" s="5" t="s">
        <v>16</v>
      </c>
      <c r="D125" s="5" t="s">
        <v>20</v>
      </c>
      <c r="E125" s="5" t="s">
        <v>12</v>
      </c>
      <c r="F125" s="5">
        <v>40</v>
      </c>
      <c r="G125" s="5">
        <v>59</v>
      </c>
      <c r="H125" s="6">
        <v>54</v>
      </c>
      <c r="I125" s="5">
        <f>SUM(F125:H125)</f>
        <v>153</v>
      </c>
      <c r="J125" s="7">
        <f>AVERAGE(F125:H125)</f>
        <v>51</v>
      </c>
      <c r="K125" s="8">
        <f>I125/300</f>
        <v>0.51</v>
      </c>
      <c r="L125" s="5">
        <f>_xlfn.RANK.EQ(J125,$J$2:$J$1001,0)</f>
        <v>876</v>
      </c>
    </row>
    <row r="126" spans="1:12" x14ac:dyDescent="0.3">
      <c r="A126" s="5" t="s">
        <v>17</v>
      </c>
      <c r="B126" s="5" t="s">
        <v>9</v>
      </c>
      <c r="C126" s="5" t="s">
        <v>14</v>
      </c>
      <c r="D126" s="5" t="s">
        <v>11</v>
      </c>
      <c r="E126" s="5" t="s">
        <v>12</v>
      </c>
      <c r="F126" s="5">
        <v>58</v>
      </c>
      <c r="G126" s="5">
        <v>50</v>
      </c>
      <c r="H126" s="6">
        <v>45</v>
      </c>
      <c r="I126" s="5">
        <f>SUM(F126:H126)</f>
        <v>153</v>
      </c>
      <c r="J126" s="7">
        <f>AVERAGE(F126:H126)</f>
        <v>51</v>
      </c>
      <c r="K126" s="8">
        <f>I126/300</f>
        <v>0.51</v>
      </c>
      <c r="L126" s="5">
        <f>_xlfn.RANK.EQ(J126,$J$2:$J$1001,0)</f>
        <v>876</v>
      </c>
    </row>
    <row r="127" spans="1:12" x14ac:dyDescent="0.3">
      <c r="A127" s="5" t="s">
        <v>17</v>
      </c>
      <c r="B127" s="5" t="s">
        <v>18</v>
      </c>
      <c r="C127" s="5" t="s">
        <v>19</v>
      </c>
      <c r="D127" s="5" t="s">
        <v>11</v>
      </c>
      <c r="E127" s="5" t="s">
        <v>12</v>
      </c>
      <c r="F127" s="5">
        <v>54</v>
      </c>
      <c r="G127" s="5">
        <v>53</v>
      </c>
      <c r="H127" s="6">
        <v>47</v>
      </c>
      <c r="I127" s="5">
        <f>SUM(F127:H127)</f>
        <v>154</v>
      </c>
      <c r="J127" s="7">
        <f>AVERAGE(F127:H127)</f>
        <v>51.333333333333336</v>
      </c>
      <c r="K127" s="8">
        <f>I127/300</f>
        <v>0.51333333333333331</v>
      </c>
      <c r="L127" s="5">
        <f>_xlfn.RANK.EQ(J127,$J$2:$J$1001,0)</f>
        <v>870</v>
      </c>
    </row>
    <row r="128" spans="1:12" x14ac:dyDescent="0.3">
      <c r="A128" s="5" t="s">
        <v>17</v>
      </c>
      <c r="B128" s="5" t="s">
        <v>9</v>
      </c>
      <c r="C128" s="5" t="s">
        <v>16</v>
      </c>
      <c r="D128" s="5" t="s">
        <v>20</v>
      </c>
      <c r="E128" s="5" t="s">
        <v>12</v>
      </c>
      <c r="F128" s="5">
        <v>49</v>
      </c>
      <c r="G128" s="5">
        <v>53</v>
      </c>
      <c r="H128" s="6">
        <v>52</v>
      </c>
      <c r="I128" s="5">
        <f>SUM(F128:H128)</f>
        <v>154</v>
      </c>
      <c r="J128" s="7">
        <f>AVERAGE(F128:H128)</f>
        <v>51.333333333333336</v>
      </c>
      <c r="K128" s="8">
        <f>I128/300</f>
        <v>0.51333333333333331</v>
      </c>
      <c r="L128" s="5">
        <f>_xlfn.RANK.EQ(J128,$J$2:$J$1001,0)</f>
        <v>870</v>
      </c>
    </row>
    <row r="129" spans="1:12" x14ac:dyDescent="0.3">
      <c r="A129" s="5" t="s">
        <v>17</v>
      </c>
      <c r="B129" s="5" t="s">
        <v>13</v>
      </c>
      <c r="C129" s="5" t="s">
        <v>22</v>
      </c>
      <c r="D129" s="5" t="s">
        <v>11</v>
      </c>
      <c r="E129" s="5" t="s">
        <v>12</v>
      </c>
      <c r="F129" s="5">
        <v>52</v>
      </c>
      <c r="G129" s="5">
        <v>53</v>
      </c>
      <c r="H129" s="6">
        <v>49</v>
      </c>
      <c r="I129" s="5">
        <f>SUM(F129:H129)</f>
        <v>154</v>
      </c>
      <c r="J129" s="7">
        <f>AVERAGE(F129:H129)</f>
        <v>51.333333333333336</v>
      </c>
      <c r="K129" s="8">
        <f>I129/300</f>
        <v>0.51333333333333331</v>
      </c>
      <c r="L129" s="5">
        <f>_xlfn.RANK.EQ(J129,$J$2:$J$1001,0)</f>
        <v>870</v>
      </c>
    </row>
    <row r="130" spans="1:12" x14ac:dyDescent="0.3">
      <c r="A130" s="5" t="s">
        <v>8</v>
      </c>
      <c r="B130" s="5" t="s">
        <v>13</v>
      </c>
      <c r="C130" s="5" t="s">
        <v>14</v>
      </c>
      <c r="D130" s="5" t="s">
        <v>11</v>
      </c>
      <c r="E130" s="5" t="s">
        <v>12</v>
      </c>
      <c r="F130" s="5">
        <v>54</v>
      </c>
      <c r="G130" s="5">
        <v>48</v>
      </c>
      <c r="H130" s="6">
        <v>52</v>
      </c>
      <c r="I130" s="5">
        <f>SUM(F130:H130)</f>
        <v>154</v>
      </c>
      <c r="J130" s="7">
        <f>AVERAGE(F130:H130)</f>
        <v>51.333333333333336</v>
      </c>
      <c r="K130" s="8">
        <f>I130/300</f>
        <v>0.51333333333333331</v>
      </c>
      <c r="L130" s="5">
        <f>_xlfn.RANK.EQ(J130,$J$2:$J$1001,0)</f>
        <v>870</v>
      </c>
    </row>
    <row r="131" spans="1:12" x14ac:dyDescent="0.3">
      <c r="A131" s="5" t="s">
        <v>17</v>
      </c>
      <c r="B131" s="5" t="s">
        <v>13</v>
      </c>
      <c r="C131" s="5" t="s">
        <v>22</v>
      </c>
      <c r="D131" s="5" t="s">
        <v>11</v>
      </c>
      <c r="E131" s="5" t="s">
        <v>15</v>
      </c>
      <c r="F131" s="5">
        <v>53</v>
      </c>
      <c r="G131" s="5">
        <v>52</v>
      </c>
      <c r="H131" s="6">
        <v>49</v>
      </c>
      <c r="I131" s="5">
        <f>SUM(F131:H131)</f>
        <v>154</v>
      </c>
      <c r="J131" s="7">
        <f>AVERAGE(F131:H131)</f>
        <v>51.333333333333336</v>
      </c>
      <c r="K131" s="8">
        <f>I131/300</f>
        <v>0.51333333333333331</v>
      </c>
      <c r="L131" s="5">
        <f>_xlfn.RANK.EQ(J131,$J$2:$J$1001,0)</f>
        <v>870</v>
      </c>
    </row>
    <row r="132" spans="1:12" x14ac:dyDescent="0.3">
      <c r="A132" s="5" t="s">
        <v>8</v>
      </c>
      <c r="B132" s="5" t="s">
        <v>13</v>
      </c>
      <c r="C132" s="5" t="s">
        <v>23</v>
      </c>
      <c r="D132" s="5" t="s">
        <v>11</v>
      </c>
      <c r="E132" s="5" t="s">
        <v>12</v>
      </c>
      <c r="F132" s="5">
        <v>47</v>
      </c>
      <c r="G132" s="5">
        <v>54</v>
      </c>
      <c r="H132" s="6">
        <v>53</v>
      </c>
      <c r="I132" s="5">
        <f>SUM(F132:H132)</f>
        <v>154</v>
      </c>
      <c r="J132" s="7">
        <f>AVERAGE(F132:H132)</f>
        <v>51.333333333333336</v>
      </c>
      <c r="K132" s="8">
        <f>I132/300</f>
        <v>0.51333333333333331</v>
      </c>
      <c r="L132" s="5">
        <f>_xlfn.RANK.EQ(J132,$J$2:$J$1001,0)</f>
        <v>870</v>
      </c>
    </row>
    <row r="133" spans="1:12" x14ac:dyDescent="0.3">
      <c r="A133" s="5" t="s">
        <v>17</v>
      </c>
      <c r="B133" s="5" t="s">
        <v>13</v>
      </c>
      <c r="C133" s="5" t="s">
        <v>22</v>
      </c>
      <c r="D133" s="5" t="s">
        <v>20</v>
      </c>
      <c r="E133" s="5" t="s">
        <v>15</v>
      </c>
      <c r="F133" s="5">
        <v>53</v>
      </c>
      <c r="G133" s="5">
        <v>51</v>
      </c>
      <c r="H133" s="6">
        <v>51</v>
      </c>
      <c r="I133" s="5">
        <f>SUM(F133:H133)</f>
        <v>155</v>
      </c>
      <c r="J133" s="7">
        <f>AVERAGE(F133:H133)</f>
        <v>51.666666666666664</v>
      </c>
      <c r="K133" s="8">
        <f>I133/300</f>
        <v>0.51666666666666672</v>
      </c>
      <c r="L133" s="5">
        <f>_xlfn.RANK.EQ(J133,$J$2:$J$1001,0)</f>
        <v>860</v>
      </c>
    </row>
    <row r="134" spans="1:12" x14ac:dyDescent="0.3">
      <c r="A134" s="5" t="s">
        <v>8</v>
      </c>
      <c r="B134" s="5" t="s">
        <v>24</v>
      </c>
      <c r="C134" s="5" t="s">
        <v>16</v>
      </c>
      <c r="D134" s="5" t="s">
        <v>20</v>
      </c>
      <c r="E134" s="5" t="s">
        <v>12</v>
      </c>
      <c r="F134" s="5">
        <v>45</v>
      </c>
      <c r="G134" s="5">
        <v>56</v>
      </c>
      <c r="H134" s="6">
        <v>54</v>
      </c>
      <c r="I134" s="5">
        <f>SUM(F134:H134)</f>
        <v>155</v>
      </c>
      <c r="J134" s="7">
        <f>AVERAGE(F134:H134)</f>
        <v>51.666666666666664</v>
      </c>
      <c r="K134" s="8">
        <f>I134/300</f>
        <v>0.51666666666666672</v>
      </c>
      <c r="L134" s="5">
        <f>_xlfn.RANK.EQ(J134,$J$2:$J$1001,0)</f>
        <v>860</v>
      </c>
    </row>
    <row r="135" spans="1:12" x14ac:dyDescent="0.3">
      <c r="A135" s="5" t="s">
        <v>17</v>
      </c>
      <c r="B135" s="5" t="s">
        <v>21</v>
      </c>
      <c r="C135" s="5" t="s">
        <v>19</v>
      </c>
      <c r="D135" s="5" t="s">
        <v>20</v>
      </c>
      <c r="E135" s="5" t="s">
        <v>12</v>
      </c>
      <c r="F135" s="5">
        <v>53</v>
      </c>
      <c r="G135" s="5">
        <v>54</v>
      </c>
      <c r="H135" s="6">
        <v>48</v>
      </c>
      <c r="I135" s="5">
        <f>SUM(F135:H135)</f>
        <v>155</v>
      </c>
      <c r="J135" s="7">
        <f>AVERAGE(F135:H135)</f>
        <v>51.666666666666664</v>
      </c>
      <c r="K135" s="8">
        <f>I135/300</f>
        <v>0.51666666666666672</v>
      </c>
      <c r="L135" s="5">
        <f>_xlfn.RANK.EQ(J135,$J$2:$J$1001,0)</f>
        <v>860</v>
      </c>
    </row>
    <row r="136" spans="1:12" x14ac:dyDescent="0.3">
      <c r="A136" s="5" t="s">
        <v>8</v>
      </c>
      <c r="B136" s="5" t="s">
        <v>9</v>
      </c>
      <c r="C136" s="5" t="s">
        <v>19</v>
      </c>
      <c r="D136" s="5" t="s">
        <v>11</v>
      </c>
      <c r="E136" s="5" t="s">
        <v>12</v>
      </c>
      <c r="F136" s="5">
        <v>49</v>
      </c>
      <c r="G136" s="5">
        <v>52</v>
      </c>
      <c r="H136" s="6">
        <v>54</v>
      </c>
      <c r="I136" s="5">
        <f>SUM(F136:H136)</f>
        <v>155</v>
      </c>
      <c r="J136" s="7">
        <f>AVERAGE(F136:H136)</f>
        <v>51.666666666666664</v>
      </c>
      <c r="K136" s="8">
        <f>I136/300</f>
        <v>0.51666666666666672</v>
      </c>
      <c r="L136" s="5">
        <f>_xlfn.RANK.EQ(J136,$J$2:$J$1001,0)</f>
        <v>860</v>
      </c>
    </row>
    <row r="137" spans="1:12" x14ac:dyDescent="0.3">
      <c r="A137" s="5" t="s">
        <v>17</v>
      </c>
      <c r="B137" s="5" t="s">
        <v>18</v>
      </c>
      <c r="C137" s="5" t="s">
        <v>23</v>
      </c>
      <c r="D137" s="5" t="s">
        <v>11</v>
      </c>
      <c r="E137" s="5" t="s">
        <v>12</v>
      </c>
      <c r="F137" s="5">
        <v>53</v>
      </c>
      <c r="G137" s="5">
        <v>54</v>
      </c>
      <c r="H137" s="6">
        <v>48</v>
      </c>
      <c r="I137" s="5">
        <f>SUM(F137:H137)</f>
        <v>155</v>
      </c>
      <c r="J137" s="7">
        <f>AVERAGE(F137:H137)</f>
        <v>51.666666666666664</v>
      </c>
      <c r="K137" s="8">
        <f>I137/300</f>
        <v>0.51666666666666672</v>
      </c>
      <c r="L137" s="5">
        <f>_xlfn.RANK.EQ(J137,$J$2:$J$1001,0)</f>
        <v>860</v>
      </c>
    </row>
    <row r="138" spans="1:12" x14ac:dyDescent="0.3">
      <c r="A138" s="5" t="s">
        <v>17</v>
      </c>
      <c r="B138" s="5" t="s">
        <v>21</v>
      </c>
      <c r="C138" s="5" t="s">
        <v>19</v>
      </c>
      <c r="D138" s="5" t="s">
        <v>11</v>
      </c>
      <c r="E138" s="5" t="s">
        <v>12</v>
      </c>
      <c r="F138" s="5">
        <v>61</v>
      </c>
      <c r="G138" s="5">
        <v>48</v>
      </c>
      <c r="H138" s="6">
        <v>46</v>
      </c>
      <c r="I138" s="5">
        <f>SUM(F138:H138)</f>
        <v>155</v>
      </c>
      <c r="J138" s="7">
        <f>AVERAGE(F138:H138)</f>
        <v>51.666666666666664</v>
      </c>
      <c r="K138" s="8">
        <f>I138/300</f>
        <v>0.51666666666666672</v>
      </c>
      <c r="L138" s="5">
        <f>_xlfn.RANK.EQ(J138,$J$2:$J$1001,0)</f>
        <v>860</v>
      </c>
    </row>
    <row r="139" spans="1:12" x14ac:dyDescent="0.3">
      <c r="A139" s="5" t="s">
        <v>17</v>
      </c>
      <c r="B139" s="5" t="s">
        <v>18</v>
      </c>
      <c r="C139" s="5" t="s">
        <v>22</v>
      </c>
      <c r="D139" s="5" t="s">
        <v>20</v>
      </c>
      <c r="E139" s="5" t="s">
        <v>12</v>
      </c>
      <c r="F139" s="5">
        <v>53</v>
      </c>
      <c r="G139" s="5">
        <v>58</v>
      </c>
      <c r="H139" s="6">
        <v>44</v>
      </c>
      <c r="I139" s="5">
        <f>SUM(F139:H139)</f>
        <v>155</v>
      </c>
      <c r="J139" s="7">
        <f>AVERAGE(F139:H139)</f>
        <v>51.666666666666664</v>
      </c>
      <c r="K139" s="8">
        <f>I139/300</f>
        <v>0.51666666666666672</v>
      </c>
      <c r="L139" s="5">
        <f>_xlfn.RANK.EQ(J139,$J$2:$J$1001,0)</f>
        <v>860</v>
      </c>
    </row>
    <row r="140" spans="1:12" x14ac:dyDescent="0.3">
      <c r="A140" s="5" t="s">
        <v>8</v>
      </c>
      <c r="B140" s="5" t="s">
        <v>13</v>
      </c>
      <c r="C140" s="5" t="s">
        <v>19</v>
      </c>
      <c r="D140" s="5" t="s">
        <v>11</v>
      </c>
      <c r="E140" s="5" t="s">
        <v>12</v>
      </c>
      <c r="F140" s="5">
        <v>49</v>
      </c>
      <c r="G140" s="5">
        <v>53</v>
      </c>
      <c r="H140" s="6">
        <v>53</v>
      </c>
      <c r="I140" s="5">
        <f>SUM(F140:H140)</f>
        <v>155</v>
      </c>
      <c r="J140" s="7">
        <f>AVERAGE(F140:H140)</f>
        <v>51.666666666666664</v>
      </c>
      <c r="K140" s="8">
        <f>I140/300</f>
        <v>0.51666666666666672</v>
      </c>
      <c r="L140" s="5">
        <f>_xlfn.RANK.EQ(J140,$J$2:$J$1001,0)</f>
        <v>860</v>
      </c>
    </row>
    <row r="141" spans="1:12" x14ac:dyDescent="0.3">
      <c r="A141" s="5" t="s">
        <v>8</v>
      </c>
      <c r="B141" s="5" t="s">
        <v>13</v>
      </c>
      <c r="C141" s="5" t="s">
        <v>23</v>
      </c>
      <c r="D141" s="5" t="s">
        <v>20</v>
      </c>
      <c r="E141" s="5" t="s">
        <v>12</v>
      </c>
      <c r="F141" s="5">
        <v>48</v>
      </c>
      <c r="G141" s="5">
        <v>56</v>
      </c>
      <c r="H141" s="6">
        <v>51</v>
      </c>
      <c r="I141" s="5">
        <f>SUM(F141:H141)</f>
        <v>155</v>
      </c>
      <c r="J141" s="7">
        <f>AVERAGE(F141:H141)</f>
        <v>51.666666666666664</v>
      </c>
      <c r="K141" s="8">
        <f>I141/300</f>
        <v>0.51666666666666672</v>
      </c>
      <c r="L141" s="5">
        <f>_xlfn.RANK.EQ(J141,$J$2:$J$1001,0)</f>
        <v>860</v>
      </c>
    </row>
    <row r="142" spans="1:12" x14ac:dyDescent="0.3">
      <c r="A142" s="5" t="s">
        <v>8</v>
      </c>
      <c r="B142" s="5" t="s">
        <v>21</v>
      </c>
      <c r="C142" s="5" t="s">
        <v>23</v>
      </c>
      <c r="D142" s="5" t="s">
        <v>20</v>
      </c>
      <c r="E142" s="5" t="s">
        <v>12</v>
      </c>
      <c r="F142" s="5">
        <v>48</v>
      </c>
      <c r="G142" s="5">
        <v>54</v>
      </c>
      <c r="H142" s="6">
        <v>53</v>
      </c>
      <c r="I142" s="5">
        <f>SUM(F142:H142)</f>
        <v>155</v>
      </c>
      <c r="J142" s="7">
        <f>AVERAGE(F142:H142)</f>
        <v>51.666666666666664</v>
      </c>
      <c r="K142" s="8">
        <f>I142/300</f>
        <v>0.51666666666666672</v>
      </c>
      <c r="L142" s="5">
        <f>_xlfn.RANK.EQ(J142,$J$2:$J$1001,0)</f>
        <v>860</v>
      </c>
    </row>
    <row r="143" spans="1:12" x14ac:dyDescent="0.3">
      <c r="A143" s="5" t="s">
        <v>17</v>
      </c>
      <c r="B143" s="5" t="s">
        <v>24</v>
      </c>
      <c r="C143" s="5" t="s">
        <v>14</v>
      </c>
      <c r="D143" s="5" t="s">
        <v>11</v>
      </c>
      <c r="E143" s="5" t="s">
        <v>12</v>
      </c>
      <c r="F143" s="5">
        <v>53</v>
      </c>
      <c r="G143" s="5">
        <v>55</v>
      </c>
      <c r="H143" s="6">
        <v>48</v>
      </c>
      <c r="I143" s="5">
        <f>SUM(F143:H143)</f>
        <v>156</v>
      </c>
      <c r="J143" s="7">
        <f>AVERAGE(F143:H143)</f>
        <v>52</v>
      </c>
      <c r="K143" s="8">
        <f>I143/300</f>
        <v>0.52</v>
      </c>
      <c r="L143" s="5">
        <f>_xlfn.RANK.EQ(J143,$J$2:$J$1001,0)</f>
        <v>855</v>
      </c>
    </row>
    <row r="144" spans="1:12" x14ac:dyDescent="0.3">
      <c r="A144" s="5" t="s">
        <v>17</v>
      </c>
      <c r="B144" s="5" t="s">
        <v>21</v>
      </c>
      <c r="C144" s="5" t="s">
        <v>19</v>
      </c>
      <c r="D144" s="5" t="s">
        <v>11</v>
      </c>
      <c r="E144" s="5" t="s">
        <v>12</v>
      </c>
      <c r="F144" s="5">
        <v>52</v>
      </c>
      <c r="G144" s="5">
        <v>55</v>
      </c>
      <c r="H144" s="6">
        <v>49</v>
      </c>
      <c r="I144" s="5">
        <f>SUM(F144:H144)</f>
        <v>156</v>
      </c>
      <c r="J144" s="7">
        <f>AVERAGE(F144:H144)</f>
        <v>52</v>
      </c>
      <c r="K144" s="8">
        <f>I144/300</f>
        <v>0.52</v>
      </c>
      <c r="L144" s="5">
        <f>_xlfn.RANK.EQ(J144,$J$2:$J$1001,0)</f>
        <v>855</v>
      </c>
    </row>
    <row r="145" spans="1:12" x14ac:dyDescent="0.3">
      <c r="A145" s="5" t="s">
        <v>8</v>
      </c>
      <c r="B145" s="5" t="s">
        <v>18</v>
      </c>
      <c r="C145" s="5" t="s">
        <v>23</v>
      </c>
      <c r="D145" s="5" t="s">
        <v>20</v>
      </c>
      <c r="E145" s="5" t="s">
        <v>12</v>
      </c>
      <c r="F145" s="5">
        <v>47</v>
      </c>
      <c r="G145" s="5">
        <v>59</v>
      </c>
      <c r="H145" s="6">
        <v>50</v>
      </c>
      <c r="I145" s="5">
        <f>SUM(F145:H145)</f>
        <v>156</v>
      </c>
      <c r="J145" s="7">
        <f>AVERAGE(F145:H145)</f>
        <v>52</v>
      </c>
      <c r="K145" s="8">
        <f>I145/300</f>
        <v>0.52</v>
      </c>
      <c r="L145" s="5">
        <f>_xlfn.RANK.EQ(J145,$J$2:$J$1001,0)</f>
        <v>855</v>
      </c>
    </row>
    <row r="146" spans="1:12" x14ac:dyDescent="0.3">
      <c r="A146" s="5" t="s">
        <v>8</v>
      </c>
      <c r="B146" s="5" t="s">
        <v>24</v>
      </c>
      <c r="C146" s="5" t="s">
        <v>19</v>
      </c>
      <c r="D146" s="5" t="s">
        <v>11</v>
      </c>
      <c r="E146" s="5" t="s">
        <v>12</v>
      </c>
      <c r="F146" s="5">
        <v>51</v>
      </c>
      <c r="G146" s="5">
        <v>51</v>
      </c>
      <c r="H146" s="6">
        <v>54</v>
      </c>
      <c r="I146" s="5">
        <f>SUM(F146:H146)</f>
        <v>156</v>
      </c>
      <c r="J146" s="7">
        <f>AVERAGE(F146:H146)</f>
        <v>52</v>
      </c>
      <c r="K146" s="8">
        <f>I146/300</f>
        <v>0.52</v>
      </c>
      <c r="L146" s="5">
        <f>_xlfn.RANK.EQ(J146,$J$2:$J$1001,0)</f>
        <v>855</v>
      </c>
    </row>
    <row r="147" spans="1:12" x14ac:dyDescent="0.3">
      <c r="A147" s="5" t="s">
        <v>17</v>
      </c>
      <c r="B147" s="5" t="s">
        <v>9</v>
      </c>
      <c r="C147" s="5" t="s">
        <v>22</v>
      </c>
      <c r="D147" s="5" t="s">
        <v>11</v>
      </c>
      <c r="E147" s="5" t="s">
        <v>12</v>
      </c>
      <c r="F147" s="5">
        <v>57</v>
      </c>
      <c r="G147" s="5">
        <v>48</v>
      </c>
      <c r="H147" s="6">
        <v>51</v>
      </c>
      <c r="I147" s="5">
        <f>SUM(F147:H147)</f>
        <v>156</v>
      </c>
      <c r="J147" s="7">
        <f>AVERAGE(F147:H147)</f>
        <v>52</v>
      </c>
      <c r="K147" s="8">
        <f>I147/300</f>
        <v>0.52</v>
      </c>
      <c r="L147" s="5">
        <f>_xlfn.RANK.EQ(J147,$J$2:$J$1001,0)</f>
        <v>855</v>
      </c>
    </row>
    <row r="148" spans="1:12" x14ac:dyDescent="0.3">
      <c r="A148" s="5" t="s">
        <v>17</v>
      </c>
      <c r="B148" s="5" t="s">
        <v>9</v>
      </c>
      <c r="C148" s="5" t="s">
        <v>14</v>
      </c>
      <c r="D148" s="5" t="s">
        <v>11</v>
      </c>
      <c r="E148" s="5" t="s">
        <v>12</v>
      </c>
      <c r="F148" s="5">
        <v>54</v>
      </c>
      <c r="G148" s="5">
        <v>52</v>
      </c>
      <c r="H148" s="6">
        <v>51</v>
      </c>
      <c r="I148" s="5">
        <f>SUM(F148:H148)</f>
        <v>157</v>
      </c>
      <c r="J148" s="7">
        <f>AVERAGE(F148:H148)</f>
        <v>52.333333333333336</v>
      </c>
      <c r="K148" s="8">
        <f>I148/300</f>
        <v>0.52333333333333332</v>
      </c>
      <c r="L148" s="5">
        <f>_xlfn.RANK.EQ(J148,$J$2:$J$1001,0)</f>
        <v>850</v>
      </c>
    </row>
    <row r="149" spans="1:12" x14ac:dyDescent="0.3">
      <c r="A149" s="5" t="s">
        <v>17</v>
      </c>
      <c r="B149" s="5" t="s">
        <v>18</v>
      </c>
      <c r="C149" s="5" t="s">
        <v>22</v>
      </c>
      <c r="D149" s="5" t="s">
        <v>11</v>
      </c>
      <c r="E149" s="5" t="s">
        <v>12</v>
      </c>
      <c r="F149" s="5">
        <v>59</v>
      </c>
      <c r="G149" s="5">
        <v>52</v>
      </c>
      <c r="H149" s="6">
        <v>46</v>
      </c>
      <c r="I149" s="5">
        <f>SUM(F149:H149)</f>
        <v>157</v>
      </c>
      <c r="J149" s="7">
        <f>AVERAGE(F149:H149)</f>
        <v>52.333333333333336</v>
      </c>
      <c r="K149" s="8">
        <f>I149/300</f>
        <v>0.52333333333333332</v>
      </c>
      <c r="L149" s="5">
        <f>_xlfn.RANK.EQ(J149,$J$2:$J$1001,0)</f>
        <v>850</v>
      </c>
    </row>
    <row r="150" spans="1:12" x14ac:dyDescent="0.3">
      <c r="A150" s="5" t="s">
        <v>17</v>
      </c>
      <c r="B150" s="5" t="s">
        <v>18</v>
      </c>
      <c r="C150" s="5" t="s">
        <v>23</v>
      </c>
      <c r="D150" s="5" t="s">
        <v>11</v>
      </c>
      <c r="E150" s="5" t="s">
        <v>12</v>
      </c>
      <c r="F150" s="5">
        <v>64</v>
      </c>
      <c r="G150" s="5">
        <v>50</v>
      </c>
      <c r="H150" s="6">
        <v>43</v>
      </c>
      <c r="I150" s="5">
        <f>SUM(F150:H150)</f>
        <v>157</v>
      </c>
      <c r="J150" s="7">
        <f>AVERAGE(F150:H150)</f>
        <v>52.333333333333336</v>
      </c>
      <c r="K150" s="8">
        <f>I150/300</f>
        <v>0.52333333333333332</v>
      </c>
      <c r="L150" s="5">
        <f>_xlfn.RANK.EQ(J150,$J$2:$J$1001,0)</f>
        <v>850</v>
      </c>
    </row>
    <row r="151" spans="1:12" x14ac:dyDescent="0.3">
      <c r="A151" s="5" t="s">
        <v>17</v>
      </c>
      <c r="B151" s="5" t="s">
        <v>9</v>
      </c>
      <c r="C151" s="5" t="s">
        <v>14</v>
      </c>
      <c r="D151" s="5" t="s">
        <v>20</v>
      </c>
      <c r="E151" s="5" t="s">
        <v>12</v>
      </c>
      <c r="F151" s="5">
        <v>55</v>
      </c>
      <c r="G151" s="5">
        <v>55</v>
      </c>
      <c r="H151" s="6">
        <v>47</v>
      </c>
      <c r="I151" s="5">
        <f>SUM(F151:H151)</f>
        <v>157</v>
      </c>
      <c r="J151" s="7">
        <f>AVERAGE(F151:H151)</f>
        <v>52.333333333333336</v>
      </c>
      <c r="K151" s="8">
        <f>I151/300</f>
        <v>0.52333333333333332</v>
      </c>
      <c r="L151" s="5">
        <f>_xlfn.RANK.EQ(J151,$J$2:$J$1001,0)</f>
        <v>850</v>
      </c>
    </row>
    <row r="152" spans="1:12" x14ac:dyDescent="0.3">
      <c r="A152" s="5" t="s">
        <v>8</v>
      </c>
      <c r="B152" s="5" t="s">
        <v>13</v>
      </c>
      <c r="C152" s="5" t="s">
        <v>22</v>
      </c>
      <c r="D152" s="5" t="s">
        <v>11</v>
      </c>
      <c r="E152" s="5" t="s">
        <v>12</v>
      </c>
      <c r="F152" s="5">
        <v>44</v>
      </c>
      <c r="G152" s="5">
        <v>61</v>
      </c>
      <c r="H152" s="6">
        <v>52</v>
      </c>
      <c r="I152" s="5">
        <f>SUM(F152:H152)</f>
        <v>157</v>
      </c>
      <c r="J152" s="7">
        <f>AVERAGE(F152:H152)</f>
        <v>52.333333333333336</v>
      </c>
      <c r="K152" s="8">
        <f>I152/300</f>
        <v>0.52333333333333332</v>
      </c>
      <c r="L152" s="5">
        <f>_xlfn.RANK.EQ(J152,$J$2:$J$1001,0)</f>
        <v>850</v>
      </c>
    </row>
    <row r="153" spans="1:12" x14ac:dyDescent="0.3">
      <c r="A153" s="5" t="s">
        <v>8</v>
      </c>
      <c r="B153" s="5" t="s">
        <v>9</v>
      </c>
      <c r="C153" s="5" t="s">
        <v>22</v>
      </c>
      <c r="D153" s="5" t="s">
        <v>20</v>
      </c>
      <c r="E153" s="5" t="s">
        <v>15</v>
      </c>
      <c r="F153" s="5">
        <v>46</v>
      </c>
      <c r="G153" s="5">
        <v>54</v>
      </c>
      <c r="H153" s="6">
        <v>58</v>
      </c>
      <c r="I153" s="5">
        <f>SUM(F153:H153)</f>
        <v>158</v>
      </c>
      <c r="J153" s="7">
        <f>AVERAGE(F153:H153)</f>
        <v>52.666666666666664</v>
      </c>
      <c r="K153" s="8">
        <f>I153/300</f>
        <v>0.52666666666666662</v>
      </c>
      <c r="L153" s="5">
        <f>_xlfn.RANK.EQ(J153,$J$2:$J$1001,0)</f>
        <v>843</v>
      </c>
    </row>
    <row r="154" spans="1:12" x14ac:dyDescent="0.3">
      <c r="A154" s="5" t="s">
        <v>17</v>
      </c>
      <c r="B154" s="5" t="s">
        <v>21</v>
      </c>
      <c r="C154" s="5" t="s">
        <v>22</v>
      </c>
      <c r="D154" s="5" t="s">
        <v>11</v>
      </c>
      <c r="E154" s="5" t="s">
        <v>12</v>
      </c>
      <c r="F154" s="5">
        <v>54</v>
      </c>
      <c r="G154" s="5">
        <v>52</v>
      </c>
      <c r="H154" s="6">
        <v>52</v>
      </c>
      <c r="I154" s="5">
        <f>SUM(F154:H154)</f>
        <v>158</v>
      </c>
      <c r="J154" s="7">
        <f>AVERAGE(F154:H154)</f>
        <v>52.666666666666664</v>
      </c>
      <c r="K154" s="8">
        <f>I154/300</f>
        <v>0.52666666666666662</v>
      </c>
      <c r="L154" s="5">
        <f>_xlfn.RANK.EQ(J154,$J$2:$J$1001,0)</f>
        <v>843</v>
      </c>
    </row>
    <row r="155" spans="1:12" x14ac:dyDescent="0.3">
      <c r="A155" s="5" t="s">
        <v>8</v>
      </c>
      <c r="B155" s="5" t="s">
        <v>21</v>
      </c>
      <c r="C155" s="5" t="s">
        <v>19</v>
      </c>
      <c r="D155" s="5" t="s">
        <v>20</v>
      </c>
      <c r="E155" s="5" t="s">
        <v>12</v>
      </c>
      <c r="F155" s="5">
        <v>47</v>
      </c>
      <c r="G155" s="5">
        <v>53</v>
      </c>
      <c r="H155" s="6">
        <v>58</v>
      </c>
      <c r="I155" s="5">
        <f>SUM(F155:H155)</f>
        <v>158</v>
      </c>
      <c r="J155" s="7">
        <f>AVERAGE(F155:H155)</f>
        <v>52.666666666666664</v>
      </c>
      <c r="K155" s="8">
        <f>I155/300</f>
        <v>0.52666666666666662</v>
      </c>
      <c r="L155" s="5">
        <f>_xlfn.RANK.EQ(J155,$J$2:$J$1001,0)</f>
        <v>843</v>
      </c>
    </row>
    <row r="156" spans="1:12" x14ac:dyDescent="0.3">
      <c r="A156" s="5" t="s">
        <v>8</v>
      </c>
      <c r="B156" s="5" t="s">
        <v>21</v>
      </c>
      <c r="C156" s="5" t="s">
        <v>22</v>
      </c>
      <c r="D156" s="5" t="s">
        <v>20</v>
      </c>
      <c r="E156" s="5" t="s">
        <v>12</v>
      </c>
      <c r="F156" s="5">
        <v>49</v>
      </c>
      <c r="G156" s="5">
        <v>57</v>
      </c>
      <c r="H156" s="6">
        <v>52</v>
      </c>
      <c r="I156" s="5">
        <f>SUM(F156:H156)</f>
        <v>158</v>
      </c>
      <c r="J156" s="7">
        <f>AVERAGE(F156:H156)</f>
        <v>52.666666666666664</v>
      </c>
      <c r="K156" s="8">
        <f>I156/300</f>
        <v>0.52666666666666662</v>
      </c>
      <c r="L156" s="5">
        <f>_xlfn.RANK.EQ(J156,$J$2:$J$1001,0)</f>
        <v>843</v>
      </c>
    </row>
    <row r="157" spans="1:12" x14ac:dyDescent="0.3">
      <c r="A157" s="5" t="s">
        <v>17</v>
      </c>
      <c r="B157" s="5" t="s">
        <v>9</v>
      </c>
      <c r="C157" s="5" t="s">
        <v>22</v>
      </c>
      <c r="D157" s="5" t="s">
        <v>20</v>
      </c>
      <c r="E157" s="5" t="s">
        <v>12</v>
      </c>
      <c r="F157" s="5">
        <v>63</v>
      </c>
      <c r="G157" s="5">
        <v>48</v>
      </c>
      <c r="H157" s="6">
        <v>47</v>
      </c>
      <c r="I157" s="5">
        <f>SUM(F157:H157)</f>
        <v>158</v>
      </c>
      <c r="J157" s="7">
        <f>AVERAGE(F157:H157)</f>
        <v>52.666666666666664</v>
      </c>
      <c r="K157" s="8">
        <f>I157/300</f>
        <v>0.52666666666666662</v>
      </c>
      <c r="L157" s="5">
        <f>_xlfn.RANK.EQ(J157,$J$2:$J$1001,0)</f>
        <v>843</v>
      </c>
    </row>
    <row r="158" spans="1:12" x14ac:dyDescent="0.3">
      <c r="A158" s="5" t="s">
        <v>8</v>
      </c>
      <c r="B158" s="5" t="s">
        <v>9</v>
      </c>
      <c r="C158" s="5" t="s">
        <v>22</v>
      </c>
      <c r="D158" s="5" t="s">
        <v>11</v>
      </c>
      <c r="E158" s="5" t="s">
        <v>12</v>
      </c>
      <c r="F158" s="5">
        <v>50</v>
      </c>
      <c r="G158" s="5">
        <v>53</v>
      </c>
      <c r="H158" s="6">
        <v>55</v>
      </c>
      <c r="I158" s="5">
        <f>SUM(F158:H158)</f>
        <v>158</v>
      </c>
      <c r="J158" s="7">
        <f>AVERAGE(F158:H158)</f>
        <v>52.666666666666664</v>
      </c>
      <c r="K158" s="8">
        <f>I158/300</f>
        <v>0.52666666666666662</v>
      </c>
      <c r="L158" s="5">
        <f>_xlfn.RANK.EQ(J158,$J$2:$J$1001,0)</f>
        <v>843</v>
      </c>
    </row>
    <row r="159" spans="1:12" x14ac:dyDescent="0.3">
      <c r="A159" s="5" t="s">
        <v>8</v>
      </c>
      <c r="B159" s="5" t="s">
        <v>13</v>
      </c>
      <c r="C159" s="5" t="s">
        <v>23</v>
      </c>
      <c r="D159" s="5" t="s">
        <v>20</v>
      </c>
      <c r="E159" s="5" t="s">
        <v>12</v>
      </c>
      <c r="F159" s="5">
        <v>48</v>
      </c>
      <c r="G159" s="5">
        <v>58</v>
      </c>
      <c r="H159" s="6">
        <v>52</v>
      </c>
      <c r="I159" s="5">
        <f>SUM(F159:H159)</f>
        <v>158</v>
      </c>
      <c r="J159" s="7">
        <f>AVERAGE(F159:H159)</f>
        <v>52.666666666666664</v>
      </c>
      <c r="K159" s="8">
        <f>I159/300</f>
        <v>0.52666666666666662</v>
      </c>
      <c r="L159" s="5">
        <f>_xlfn.RANK.EQ(J159,$J$2:$J$1001,0)</f>
        <v>843</v>
      </c>
    </row>
    <row r="160" spans="1:12" x14ac:dyDescent="0.3">
      <c r="A160" s="5" t="s">
        <v>17</v>
      </c>
      <c r="B160" s="5" t="s">
        <v>21</v>
      </c>
      <c r="C160" s="5" t="s">
        <v>19</v>
      </c>
      <c r="D160" s="5" t="s">
        <v>20</v>
      </c>
      <c r="E160" s="5" t="s">
        <v>12</v>
      </c>
      <c r="F160" s="5">
        <v>52</v>
      </c>
      <c r="G160" s="5">
        <v>57</v>
      </c>
      <c r="H160" s="6">
        <v>50</v>
      </c>
      <c r="I160" s="5">
        <f>SUM(F160:H160)</f>
        <v>159</v>
      </c>
      <c r="J160" s="7">
        <f>AVERAGE(F160:H160)</f>
        <v>53</v>
      </c>
      <c r="K160" s="8">
        <f>I160/300</f>
        <v>0.53</v>
      </c>
      <c r="L160" s="5">
        <f>_xlfn.RANK.EQ(J160,$J$2:$J$1001,0)</f>
        <v>841</v>
      </c>
    </row>
    <row r="161" spans="1:12" x14ac:dyDescent="0.3">
      <c r="A161" s="5" t="s">
        <v>8</v>
      </c>
      <c r="B161" s="5" t="s">
        <v>21</v>
      </c>
      <c r="C161" s="5" t="s">
        <v>19</v>
      </c>
      <c r="D161" s="5" t="s">
        <v>20</v>
      </c>
      <c r="E161" s="5" t="s">
        <v>12</v>
      </c>
      <c r="F161" s="5">
        <v>46</v>
      </c>
      <c r="G161" s="5">
        <v>56</v>
      </c>
      <c r="H161" s="6">
        <v>57</v>
      </c>
      <c r="I161" s="5">
        <f>SUM(F161:H161)</f>
        <v>159</v>
      </c>
      <c r="J161" s="7">
        <f>AVERAGE(F161:H161)</f>
        <v>53</v>
      </c>
      <c r="K161" s="8">
        <f>I161/300</f>
        <v>0.53</v>
      </c>
      <c r="L161" s="5">
        <f>_xlfn.RANK.EQ(J161,$J$2:$J$1001,0)</f>
        <v>841</v>
      </c>
    </row>
    <row r="162" spans="1:12" x14ac:dyDescent="0.3">
      <c r="A162" s="5" t="s">
        <v>8</v>
      </c>
      <c r="B162" s="5" t="s">
        <v>24</v>
      </c>
      <c r="C162" s="5" t="s">
        <v>19</v>
      </c>
      <c r="D162" s="5" t="s">
        <v>20</v>
      </c>
      <c r="E162" s="5" t="s">
        <v>12</v>
      </c>
      <c r="F162" s="5">
        <v>50</v>
      </c>
      <c r="G162" s="5">
        <v>56</v>
      </c>
      <c r="H162" s="6">
        <v>54</v>
      </c>
      <c r="I162" s="5">
        <f>SUM(F162:H162)</f>
        <v>160</v>
      </c>
      <c r="J162" s="7">
        <f>AVERAGE(F162:H162)</f>
        <v>53.333333333333336</v>
      </c>
      <c r="K162" s="8">
        <f>I162/300</f>
        <v>0.53333333333333333</v>
      </c>
      <c r="L162" s="5">
        <f>_xlfn.RANK.EQ(J162,$J$2:$J$1001,0)</f>
        <v>837</v>
      </c>
    </row>
    <row r="163" spans="1:12" x14ac:dyDescent="0.3">
      <c r="A163" s="5" t="s">
        <v>8</v>
      </c>
      <c r="B163" s="5" t="s">
        <v>13</v>
      </c>
      <c r="C163" s="5" t="s">
        <v>19</v>
      </c>
      <c r="D163" s="5" t="s">
        <v>11</v>
      </c>
      <c r="E163" s="5" t="s">
        <v>12</v>
      </c>
      <c r="F163" s="5">
        <v>39</v>
      </c>
      <c r="G163" s="5">
        <v>64</v>
      </c>
      <c r="H163" s="6">
        <v>57</v>
      </c>
      <c r="I163" s="5">
        <f>SUM(F163:H163)</f>
        <v>160</v>
      </c>
      <c r="J163" s="7">
        <f>AVERAGE(F163:H163)</f>
        <v>53.333333333333336</v>
      </c>
      <c r="K163" s="8">
        <f>I163/300</f>
        <v>0.53333333333333333</v>
      </c>
      <c r="L163" s="5">
        <f>_xlfn.RANK.EQ(J163,$J$2:$J$1001,0)</f>
        <v>837</v>
      </c>
    </row>
    <row r="164" spans="1:12" x14ac:dyDescent="0.3">
      <c r="A164" s="5" t="s">
        <v>17</v>
      </c>
      <c r="B164" s="5" t="s">
        <v>13</v>
      </c>
      <c r="C164" s="5" t="s">
        <v>23</v>
      </c>
      <c r="D164" s="5" t="s">
        <v>20</v>
      </c>
      <c r="E164" s="5" t="s">
        <v>15</v>
      </c>
      <c r="F164" s="5">
        <v>51</v>
      </c>
      <c r="G164" s="5">
        <v>56</v>
      </c>
      <c r="H164" s="6">
        <v>53</v>
      </c>
      <c r="I164" s="5">
        <f>SUM(F164:H164)</f>
        <v>160</v>
      </c>
      <c r="J164" s="7">
        <f>AVERAGE(F164:H164)</f>
        <v>53.333333333333336</v>
      </c>
      <c r="K164" s="8">
        <f>I164/300</f>
        <v>0.53333333333333333</v>
      </c>
      <c r="L164" s="5">
        <f>_xlfn.RANK.EQ(J164,$J$2:$J$1001,0)</f>
        <v>837</v>
      </c>
    </row>
    <row r="165" spans="1:12" x14ac:dyDescent="0.3">
      <c r="A165" s="5" t="s">
        <v>8</v>
      </c>
      <c r="B165" s="5" t="s">
        <v>21</v>
      </c>
      <c r="C165" s="5" t="s">
        <v>23</v>
      </c>
      <c r="D165" s="5" t="s">
        <v>11</v>
      </c>
      <c r="E165" s="5" t="s">
        <v>12</v>
      </c>
      <c r="F165" s="5">
        <v>48</v>
      </c>
      <c r="G165" s="5">
        <v>58</v>
      </c>
      <c r="H165" s="6">
        <v>54</v>
      </c>
      <c r="I165" s="5">
        <f>SUM(F165:H165)</f>
        <v>160</v>
      </c>
      <c r="J165" s="7">
        <f>AVERAGE(F165:H165)</f>
        <v>53.333333333333336</v>
      </c>
      <c r="K165" s="8">
        <f>I165/300</f>
        <v>0.53333333333333333</v>
      </c>
      <c r="L165" s="5">
        <f>_xlfn.RANK.EQ(J165,$J$2:$J$1001,0)</f>
        <v>837</v>
      </c>
    </row>
    <row r="166" spans="1:12" x14ac:dyDescent="0.3">
      <c r="A166" s="5" t="s">
        <v>8</v>
      </c>
      <c r="B166" s="5" t="s">
        <v>18</v>
      </c>
      <c r="C166" s="5" t="s">
        <v>16</v>
      </c>
      <c r="D166" s="5" t="s">
        <v>11</v>
      </c>
      <c r="E166" s="5" t="s">
        <v>12</v>
      </c>
      <c r="F166" s="5">
        <v>50</v>
      </c>
      <c r="G166" s="5">
        <v>53</v>
      </c>
      <c r="H166" s="6">
        <v>58</v>
      </c>
      <c r="I166" s="5">
        <f>SUM(F166:H166)</f>
        <v>161</v>
      </c>
      <c r="J166" s="7">
        <f>AVERAGE(F166:H166)</f>
        <v>53.666666666666664</v>
      </c>
      <c r="K166" s="8">
        <f>I166/300</f>
        <v>0.53666666666666663</v>
      </c>
      <c r="L166" s="5">
        <f>_xlfn.RANK.EQ(J166,$J$2:$J$1001,0)</f>
        <v>830</v>
      </c>
    </row>
    <row r="167" spans="1:12" x14ac:dyDescent="0.3">
      <c r="A167" s="5" t="s">
        <v>17</v>
      </c>
      <c r="B167" s="5" t="s">
        <v>13</v>
      </c>
      <c r="C167" s="5" t="s">
        <v>10</v>
      </c>
      <c r="D167" s="5" t="s">
        <v>11</v>
      </c>
      <c r="E167" s="5" t="s">
        <v>12</v>
      </c>
      <c r="F167" s="5">
        <v>58</v>
      </c>
      <c r="G167" s="5">
        <v>55</v>
      </c>
      <c r="H167" s="6">
        <v>48</v>
      </c>
      <c r="I167" s="5">
        <f>SUM(F167:H167)</f>
        <v>161</v>
      </c>
      <c r="J167" s="7">
        <f>AVERAGE(F167:H167)</f>
        <v>53.666666666666664</v>
      </c>
      <c r="K167" s="8">
        <f>I167/300</f>
        <v>0.53666666666666663</v>
      </c>
      <c r="L167" s="5">
        <f>_xlfn.RANK.EQ(J167,$J$2:$J$1001,0)</f>
        <v>830</v>
      </c>
    </row>
    <row r="168" spans="1:12" x14ac:dyDescent="0.3">
      <c r="A168" s="5" t="s">
        <v>17</v>
      </c>
      <c r="B168" s="5" t="s">
        <v>21</v>
      </c>
      <c r="C168" s="5" t="s">
        <v>22</v>
      </c>
      <c r="D168" s="5" t="s">
        <v>11</v>
      </c>
      <c r="E168" s="5" t="s">
        <v>12</v>
      </c>
      <c r="F168" s="5">
        <v>57</v>
      </c>
      <c r="G168" s="5">
        <v>50</v>
      </c>
      <c r="H168" s="6">
        <v>54</v>
      </c>
      <c r="I168" s="5">
        <f>SUM(F168:H168)</f>
        <v>161</v>
      </c>
      <c r="J168" s="7">
        <f>AVERAGE(F168:H168)</f>
        <v>53.666666666666664</v>
      </c>
      <c r="K168" s="8">
        <f>I168/300</f>
        <v>0.53666666666666663</v>
      </c>
      <c r="L168" s="5">
        <f>_xlfn.RANK.EQ(J168,$J$2:$J$1001,0)</f>
        <v>830</v>
      </c>
    </row>
    <row r="169" spans="1:12" x14ac:dyDescent="0.3">
      <c r="A169" s="5" t="s">
        <v>8</v>
      </c>
      <c r="B169" s="5" t="s">
        <v>13</v>
      </c>
      <c r="C169" s="5" t="s">
        <v>19</v>
      </c>
      <c r="D169" s="5" t="s">
        <v>11</v>
      </c>
      <c r="E169" s="5" t="s">
        <v>12</v>
      </c>
      <c r="F169" s="5">
        <v>46</v>
      </c>
      <c r="G169" s="5">
        <v>58</v>
      </c>
      <c r="H169" s="6">
        <v>57</v>
      </c>
      <c r="I169" s="5">
        <f>SUM(F169:H169)</f>
        <v>161</v>
      </c>
      <c r="J169" s="7">
        <f>AVERAGE(F169:H169)</f>
        <v>53.666666666666664</v>
      </c>
      <c r="K169" s="8">
        <f>I169/300</f>
        <v>0.53666666666666663</v>
      </c>
      <c r="L169" s="5">
        <f>_xlfn.RANK.EQ(J169,$J$2:$J$1001,0)</f>
        <v>830</v>
      </c>
    </row>
    <row r="170" spans="1:12" x14ac:dyDescent="0.3">
      <c r="A170" s="5" t="s">
        <v>17</v>
      </c>
      <c r="B170" s="5" t="s">
        <v>13</v>
      </c>
      <c r="C170" s="5" t="s">
        <v>22</v>
      </c>
      <c r="D170" s="5" t="s">
        <v>20</v>
      </c>
      <c r="E170" s="5" t="s">
        <v>15</v>
      </c>
      <c r="F170" s="5">
        <v>58</v>
      </c>
      <c r="G170" s="5">
        <v>51</v>
      </c>
      <c r="H170" s="6">
        <v>52</v>
      </c>
      <c r="I170" s="5">
        <f>SUM(F170:H170)</f>
        <v>161</v>
      </c>
      <c r="J170" s="7">
        <f>AVERAGE(F170:H170)</f>
        <v>53.666666666666664</v>
      </c>
      <c r="K170" s="8">
        <f>I170/300</f>
        <v>0.53666666666666663</v>
      </c>
      <c r="L170" s="5">
        <f>_xlfn.RANK.EQ(J170,$J$2:$J$1001,0)</f>
        <v>830</v>
      </c>
    </row>
    <row r="171" spans="1:12" x14ac:dyDescent="0.3">
      <c r="A171" s="5" t="s">
        <v>8</v>
      </c>
      <c r="B171" s="5" t="s">
        <v>21</v>
      </c>
      <c r="C171" s="5" t="s">
        <v>19</v>
      </c>
      <c r="D171" s="5" t="s">
        <v>20</v>
      </c>
      <c r="E171" s="5" t="s">
        <v>12</v>
      </c>
      <c r="F171" s="5">
        <v>43</v>
      </c>
      <c r="G171" s="5">
        <v>60</v>
      </c>
      <c r="H171" s="6">
        <v>58</v>
      </c>
      <c r="I171" s="5">
        <f>SUM(F171:H171)</f>
        <v>161</v>
      </c>
      <c r="J171" s="7">
        <f>AVERAGE(F171:H171)</f>
        <v>53.666666666666664</v>
      </c>
      <c r="K171" s="8">
        <f>I171/300</f>
        <v>0.53666666666666663</v>
      </c>
      <c r="L171" s="5">
        <f>_xlfn.RANK.EQ(J171,$J$2:$J$1001,0)</f>
        <v>830</v>
      </c>
    </row>
    <row r="172" spans="1:12" x14ac:dyDescent="0.3">
      <c r="A172" s="5" t="s">
        <v>8</v>
      </c>
      <c r="B172" s="5" t="s">
        <v>21</v>
      </c>
      <c r="C172" s="5" t="s">
        <v>19</v>
      </c>
      <c r="D172" s="5" t="s">
        <v>20</v>
      </c>
      <c r="E172" s="5" t="s">
        <v>15</v>
      </c>
      <c r="F172" s="5">
        <v>42</v>
      </c>
      <c r="G172" s="5">
        <v>61</v>
      </c>
      <c r="H172" s="6">
        <v>58</v>
      </c>
      <c r="I172" s="5">
        <f>SUM(F172:H172)</f>
        <v>161</v>
      </c>
      <c r="J172" s="7">
        <f>AVERAGE(F172:H172)</f>
        <v>53.666666666666664</v>
      </c>
      <c r="K172" s="8">
        <f>I172/300</f>
        <v>0.53666666666666663</v>
      </c>
      <c r="L172" s="5">
        <f>_xlfn.RANK.EQ(J172,$J$2:$J$1001,0)</f>
        <v>830</v>
      </c>
    </row>
    <row r="173" spans="1:12" x14ac:dyDescent="0.3">
      <c r="A173" s="5" t="s">
        <v>17</v>
      </c>
      <c r="B173" s="5" t="s">
        <v>24</v>
      </c>
      <c r="C173" s="5" t="s">
        <v>22</v>
      </c>
      <c r="D173" s="5" t="s">
        <v>20</v>
      </c>
      <c r="E173" s="5" t="s">
        <v>12</v>
      </c>
      <c r="F173" s="5">
        <v>55</v>
      </c>
      <c r="G173" s="5">
        <v>56</v>
      </c>
      <c r="H173" s="6">
        <v>51</v>
      </c>
      <c r="I173" s="5">
        <f>SUM(F173:H173)</f>
        <v>162</v>
      </c>
      <c r="J173" s="7">
        <f>AVERAGE(F173:H173)</f>
        <v>54</v>
      </c>
      <c r="K173" s="8">
        <f>I173/300</f>
        <v>0.54</v>
      </c>
      <c r="L173" s="5">
        <f>_xlfn.RANK.EQ(J173,$J$2:$J$1001,0)</f>
        <v>824</v>
      </c>
    </row>
    <row r="174" spans="1:12" x14ac:dyDescent="0.3">
      <c r="A174" s="5" t="s">
        <v>17</v>
      </c>
      <c r="B174" s="5" t="s">
        <v>21</v>
      </c>
      <c r="C174" s="5" t="s">
        <v>23</v>
      </c>
      <c r="D174" s="5" t="s">
        <v>20</v>
      </c>
      <c r="E174" s="5" t="s">
        <v>12</v>
      </c>
      <c r="F174" s="5">
        <v>56</v>
      </c>
      <c r="G174" s="5">
        <v>54</v>
      </c>
      <c r="H174" s="6">
        <v>52</v>
      </c>
      <c r="I174" s="5">
        <f>SUM(F174:H174)</f>
        <v>162</v>
      </c>
      <c r="J174" s="7">
        <f>AVERAGE(F174:H174)</f>
        <v>54</v>
      </c>
      <c r="K174" s="8">
        <f>I174/300</f>
        <v>0.54</v>
      </c>
      <c r="L174" s="5">
        <f>_xlfn.RANK.EQ(J174,$J$2:$J$1001,0)</f>
        <v>824</v>
      </c>
    </row>
    <row r="175" spans="1:12" x14ac:dyDescent="0.3">
      <c r="A175" s="5" t="s">
        <v>8</v>
      </c>
      <c r="B175" s="5" t="s">
        <v>9</v>
      </c>
      <c r="C175" s="5" t="s">
        <v>14</v>
      </c>
      <c r="D175" s="5" t="s">
        <v>20</v>
      </c>
      <c r="E175" s="5" t="s">
        <v>15</v>
      </c>
      <c r="F175" s="5">
        <v>48</v>
      </c>
      <c r="G175" s="5">
        <v>56</v>
      </c>
      <c r="H175" s="6">
        <v>58</v>
      </c>
      <c r="I175" s="5">
        <f>SUM(F175:H175)</f>
        <v>162</v>
      </c>
      <c r="J175" s="7">
        <f>AVERAGE(F175:H175)</f>
        <v>54</v>
      </c>
      <c r="K175" s="8">
        <f>I175/300</f>
        <v>0.54</v>
      </c>
      <c r="L175" s="5">
        <f>_xlfn.RANK.EQ(J175,$J$2:$J$1001,0)</f>
        <v>824</v>
      </c>
    </row>
    <row r="176" spans="1:12" x14ac:dyDescent="0.3">
      <c r="A176" s="5" t="s">
        <v>8</v>
      </c>
      <c r="B176" s="5" t="s">
        <v>9</v>
      </c>
      <c r="C176" s="5" t="s">
        <v>23</v>
      </c>
      <c r="D176" s="5" t="s">
        <v>20</v>
      </c>
      <c r="E176" s="5" t="s">
        <v>12</v>
      </c>
      <c r="F176" s="5">
        <v>49</v>
      </c>
      <c r="G176" s="5">
        <v>58</v>
      </c>
      <c r="H176" s="6">
        <v>55</v>
      </c>
      <c r="I176" s="5">
        <f>SUM(F176:H176)</f>
        <v>162</v>
      </c>
      <c r="J176" s="7">
        <f>AVERAGE(F176:H176)</f>
        <v>54</v>
      </c>
      <c r="K176" s="8">
        <f>I176/300</f>
        <v>0.54</v>
      </c>
      <c r="L176" s="5">
        <f>_xlfn.RANK.EQ(J176,$J$2:$J$1001,0)</f>
        <v>824</v>
      </c>
    </row>
    <row r="177" spans="1:12" x14ac:dyDescent="0.3">
      <c r="A177" s="5" t="s">
        <v>8</v>
      </c>
      <c r="B177" s="5" t="s">
        <v>9</v>
      </c>
      <c r="C177" s="5" t="s">
        <v>19</v>
      </c>
      <c r="D177" s="5" t="s">
        <v>20</v>
      </c>
      <c r="E177" s="5" t="s">
        <v>12</v>
      </c>
      <c r="F177" s="5">
        <v>46</v>
      </c>
      <c r="G177" s="5">
        <v>61</v>
      </c>
      <c r="H177" s="6">
        <v>55</v>
      </c>
      <c r="I177" s="5">
        <f>SUM(F177:H177)</f>
        <v>162</v>
      </c>
      <c r="J177" s="7">
        <f>AVERAGE(F177:H177)</f>
        <v>54</v>
      </c>
      <c r="K177" s="8">
        <f>I177/300</f>
        <v>0.54</v>
      </c>
      <c r="L177" s="5">
        <f>_xlfn.RANK.EQ(J177,$J$2:$J$1001,0)</f>
        <v>824</v>
      </c>
    </row>
    <row r="178" spans="1:12" x14ac:dyDescent="0.3">
      <c r="A178" s="5" t="s">
        <v>17</v>
      </c>
      <c r="B178" s="5" t="s">
        <v>18</v>
      </c>
      <c r="C178" s="5" t="s">
        <v>22</v>
      </c>
      <c r="D178" s="5" t="s">
        <v>11</v>
      </c>
      <c r="E178" s="5" t="s">
        <v>12</v>
      </c>
      <c r="F178" s="5">
        <v>57</v>
      </c>
      <c r="G178" s="5">
        <v>51</v>
      </c>
      <c r="H178" s="6">
        <v>54</v>
      </c>
      <c r="I178" s="5">
        <f>SUM(F178:H178)</f>
        <v>162</v>
      </c>
      <c r="J178" s="7">
        <f>AVERAGE(F178:H178)</f>
        <v>54</v>
      </c>
      <c r="K178" s="8">
        <f>I178/300</f>
        <v>0.54</v>
      </c>
      <c r="L178" s="5">
        <f>_xlfn.RANK.EQ(J178,$J$2:$J$1001,0)</f>
        <v>824</v>
      </c>
    </row>
    <row r="179" spans="1:12" x14ac:dyDescent="0.3">
      <c r="A179" s="5" t="s">
        <v>8</v>
      </c>
      <c r="B179" s="5" t="s">
        <v>21</v>
      </c>
      <c r="C179" s="5" t="s">
        <v>14</v>
      </c>
      <c r="D179" s="5" t="s">
        <v>11</v>
      </c>
      <c r="E179" s="5" t="s">
        <v>12</v>
      </c>
      <c r="F179" s="5">
        <v>51</v>
      </c>
      <c r="G179" s="5">
        <v>58</v>
      </c>
      <c r="H179" s="6">
        <v>54</v>
      </c>
      <c r="I179" s="5">
        <f>SUM(F179:H179)</f>
        <v>163</v>
      </c>
      <c r="J179" s="7">
        <f>AVERAGE(F179:H179)</f>
        <v>54.333333333333336</v>
      </c>
      <c r="K179" s="8">
        <f>I179/300</f>
        <v>0.54333333333333333</v>
      </c>
      <c r="L179" s="5">
        <f>_xlfn.RANK.EQ(J179,$J$2:$J$1001,0)</f>
        <v>819</v>
      </c>
    </row>
    <row r="180" spans="1:12" x14ac:dyDescent="0.3">
      <c r="A180" s="5" t="s">
        <v>8</v>
      </c>
      <c r="B180" s="5" t="s">
        <v>21</v>
      </c>
      <c r="C180" s="5" t="s">
        <v>22</v>
      </c>
      <c r="D180" s="5" t="s">
        <v>11</v>
      </c>
      <c r="E180" s="5" t="s">
        <v>12</v>
      </c>
      <c r="F180" s="5">
        <v>56</v>
      </c>
      <c r="G180" s="5">
        <v>52</v>
      </c>
      <c r="H180" s="6">
        <v>55</v>
      </c>
      <c r="I180" s="5">
        <f>SUM(F180:H180)</f>
        <v>163</v>
      </c>
      <c r="J180" s="7">
        <f>AVERAGE(F180:H180)</f>
        <v>54.333333333333336</v>
      </c>
      <c r="K180" s="8">
        <f>I180/300</f>
        <v>0.54333333333333333</v>
      </c>
      <c r="L180" s="5">
        <f>_xlfn.RANK.EQ(J180,$J$2:$J$1001,0)</f>
        <v>819</v>
      </c>
    </row>
    <row r="181" spans="1:12" x14ac:dyDescent="0.3">
      <c r="A181" s="5" t="s">
        <v>17</v>
      </c>
      <c r="B181" s="5" t="s">
        <v>21</v>
      </c>
      <c r="C181" s="5" t="s">
        <v>23</v>
      </c>
      <c r="D181" s="5" t="s">
        <v>20</v>
      </c>
      <c r="E181" s="5" t="s">
        <v>12</v>
      </c>
      <c r="F181" s="5">
        <v>62</v>
      </c>
      <c r="G181" s="5">
        <v>49</v>
      </c>
      <c r="H181" s="6">
        <v>52</v>
      </c>
      <c r="I181" s="5">
        <f>SUM(F181:H181)</f>
        <v>163</v>
      </c>
      <c r="J181" s="7">
        <f>AVERAGE(F181:H181)</f>
        <v>54.333333333333336</v>
      </c>
      <c r="K181" s="8">
        <f>I181/300</f>
        <v>0.54333333333333333</v>
      </c>
      <c r="L181" s="5">
        <f>_xlfn.RANK.EQ(J181,$J$2:$J$1001,0)</f>
        <v>819</v>
      </c>
    </row>
    <row r="182" spans="1:12" x14ac:dyDescent="0.3">
      <c r="A182" s="5" t="s">
        <v>17</v>
      </c>
      <c r="B182" s="5" t="s">
        <v>13</v>
      </c>
      <c r="C182" s="5" t="s">
        <v>16</v>
      </c>
      <c r="D182" s="5" t="s">
        <v>20</v>
      </c>
      <c r="E182" s="5" t="s">
        <v>12</v>
      </c>
      <c r="F182" s="5">
        <v>54</v>
      </c>
      <c r="G182" s="5">
        <v>59</v>
      </c>
      <c r="H182" s="6">
        <v>50</v>
      </c>
      <c r="I182" s="5">
        <f>SUM(F182:H182)</f>
        <v>163</v>
      </c>
      <c r="J182" s="7">
        <f>AVERAGE(F182:H182)</f>
        <v>54.333333333333336</v>
      </c>
      <c r="K182" s="8">
        <f>I182/300</f>
        <v>0.54333333333333333</v>
      </c>
      <c r="L182" s="5">
        <f>_xlfn.RANK.EQ(J182,$J$2:$J$1001,0)</f>
        <v>819</v>
      </c>
    </row>
    <row r="183" spans="1:12" x14ac:dyDescent="0.3">
      <c r="A183" s="5" t="s">
        <v>8</v>
      </c>
      <c r="B183" s="5" t="s">
        <v>18</v>
      </c>
      <c r="C183" s="5" t="s">
        <v>22</v>
      </c>
      <c r="D183" s="5" t="s">
        <v>20</v>
      </c>
      <c r="E183" s="5" t="s">
        <v>15</v>
      </c>
      <c r="F183" s="5">
        <v>53</v>
      </c>
      <c r="G183" s="5">
        <v>50</v>
      </c>
      <c r="H183" s="6">
        <v>60</v>
      </c>
      <c r="I183" s="5">
        <f>SUM(F183:H183)</f>
        <v>163</v>
      </c>
      <c r="J183" s="7">
        <f>AVERAGE(F183:H183)</f>
        <v>54.333333333333336</v>
      </c>
      <c r="K183" s="8">
        <f>I183/300</f>
        <v>0.54333333333333333</v>
      </c>
      <c r="L183" s="5">
        <f>_xlfn.RANK.EQ(J183,$J$2:$J$1001,0)</f>
        <v>819</v>
      </c>
    </row>
    <row r="184" spans="1:12" x14ac:dyDescent="0.3">
      <c r="A184" s="5" t="s">
        <v>17</v>
      </c>
      <c r="B184" s="5" t="s">
        <v>13</v>
      </c>
      <c r="C184" s="5" t="s">
        <v>19</v>
      </c>
      <c r="D184" s="5" t="s">
        <v>11</v>
      </c>
      <c r="E184" s="5" t="s">
        <v>12</v>
      </c>
      <c r="F184" s="5">
        <v>58</v>
      </c>
      <c r="G184" s="5">
        <v>54</v>
      </c>
      <c r="H184" s="6">
        <v>52</v>
      </c>
      <c r="I184" s="5">
        <f>SUM(F184:H184)</f>
        <v>164</v>
      </c>
      <c r="J184" s="7">
        <f>AVERAGE(F184:H184)</f>
        <v>54.666666666666664</v>
      </c>
      <c r="K184" s="8">
        <f>I184/300</f>
        <v>0.54666666666666663</v>
      </c>
      <c r="L184" s="5">
        <f>_xlfn.RANK.EQ(J184,$J$2:$J$1001,0)</f>
        <v>810</v>
      </c>
    </row>
    <row r="185" spans="1:12" x14ac:dyDescent="0.3">
      <c r="A185" s="5" t="s">
        <v>8</v>
      </c>
      <c r="B185" s="5" t="s">
        <v>13</v>
      </c>
      <c r="C185" s="5" t="s">
        <v>22</v>
      </c>
      <c r="D185" s="5" t="s">
        <v>20</v>
      </c>
      <c r="E185" s="5" t="s">
        <v>12</v>
      </c>
      <c r="F185" s="5">
        <v>42</v>
      </c>
      <c r="G185" s="5">
        <v>62</v>
      </c>
      <c r="H185" s="6">
        <v>60</v>
      </c>
      <c r="I185" s="5">
        <f>SUM(F185:H185)</f>
        <v>164</v>
      </c>
      <c r="J185" s="7">
        <f>AVERAGE(F185:H185)</f>
        <v>54.666666666666664</v>
      </c>
      <c r="K185" s="8">
        <f>I185/300</f>
        <v>0.54666666666666663</v>
      </c>
      <c r="L185" s="5">
        <f>_xlfn.RANK.EQ(J185,$J$2:$J$1001,0)</f>
        <v>810</v>
      </c>
    </row>
    <row r="186" spans="1:12" x14ac:dyDescent="0.3">
      <c r="A186" s="5" t="s">
        <v>17</v>
      </c>
      <c r="B186" s="5" t="s">
        <v>21</v>
      </c>
      <c r="C186" s="5" t="s">
        <v>14</v>
      </c>
      <c r="D186" s="5" t="s">
        <v>20</v>
      </c>
      <c r="E186" s="5" t="s">
        <v>12</v>
      </c>
      <c r="F186" s="5">
        <v>61</v>
      </c>
      <c r="G186" s="5">
        <v>47</v>
      </c>
      <c r="H186" s="6">
        <v>56</v>
      </c>
      <c r="I186" s="5">
        <f>SUM(F186:H186)</f>
        <v>164</v>
      </c>
      <c r="J186" s="7">
        <f>AVERAGE(F186:H186)</f>
        <v>54.666666666666664</v>
      </c>
      <c r="K186" s="8">
        <f>I186/300</f>
        <v>0.54666666666666663</v>
      </c>
      <c r="L186" s="5">
        <f>_xlfn.RANK.EQ(J186,$J$2:$J$1001,0)</f>
        <v>810</v>
      </c>
    </row>
    <row r="187" spans="1:12" x14ac:dyDescent="0.3">
      <c r="A187" s="5" t="s">
        <v>17</v>
      </c>
      <c r="B187" s="5" t="s">
        <v>18</v>
      </c>
      <c r="C187" s="5" t="s">
        <v>14</v>
      </c>
      <c r="D187" s="5" t="s">
        <v>11</v>
      </c>
      <c r="E187" s="5" t="s">
        <v>15</v>
      </c>
      <c r="F187" s="5">
        <v>61</v>
      </c>
      <c r="G187" s="5">
        <v>51</v>
      </c>
      <c r="H187" s="6">
        <v>52</v>
      </c>
      <c r="I187" s="5">
        <f>SUM(F187:H187)</f>
        <v>164</v>
      </c>
      <c r="J187" s="7">
        <f>AVERAGE(F187:H187)</f>
        <v>54.666666666666664</v>
      </c>
      <c r="K187" s="8">
        <f>I187/300</f>
        <v>0.54666666666666663</v>
      </c>
      <c r="L187" s="5">
        <f>_xlfn.RANK.EQ(J187,$J$2:$J$1001,0)</f>
        <v>810</v>
      </c>
    </row>
    <row r="188" spans="1:12" x14ac:dyDescent="0.3">
      <c r="A188" s="5" t="s">
        <v>8</v>
      </c>
      <c r="B188" s="5" t="s">
        <v>13</v>
      </c>
      <c r="C188" s="5" t="s">
        <v>19</v>
      </c>
      <c r="D188" s="5" t="s">
        <v>11</v>
      </c>
      <c r="E188" s="5" t="s">
        <v>12</v>
      </c>
      <c r="F188" s="5">
        <v>52</v>
      </c>
      <c r="G188" s="5">
        <v>55</v>
      </c>
      <c r="H188" s="6">
        <v>57</v>
      </c>
      <c r="I188" s="5">
        <f>SUM(F188:H188)</f>
        <v>164</v>
      </c>
      <c r="J188" s="7">
        <f>AVERAGE(F188:H188)</f>
        <v>54.666666666666664</v>
      </c>
      <c r="K188" s="8">
        <f>I188/300</f>
        <v>0.54666666666666663</v>
      </c>
      <c r="L188" s="5">
        <f>_xlfn.RANK.EQ(J188,$J$2:$J$1001,0)</f>
        <v>810</v>
      </c>
    </row>
    <row r="189" spans="1:12" x14ac:dyDescent="0.3">
      <c r="A189" s="5" t="s">
        <v>17</v>
      </c>
      <c r="B189" s="5" t="s">
        <v>9</v>
      </c>
      <c r="C189" s="5" t="s">
        <v>10</v>
      </c>
      <c r="D189" s="5" t="s">
        <v>11</v>
      </c>
      <c r="E189" s="5" t="s">
        <v>12</v>
      </c>
      <c r="F189" s="5">
        <v>59</v>
      </c>
      <c r="G189" s="5">
        <v>54</v>
      </c>
      <c r="H189" s="6">
        <v>51</v>
      </c>
      <c r="I189" s="5">
        <f>SUM(F189:H189)</f>
        <v>164</v>
      </c>
      <c r="J189" s="7">
        <f>AVERAGE(F189:H189)</f>
        <v>54.666666666666664</v>
      </c>
      <c r="K189" s="8">
        <f>I189/300</f>
        <v>0.54666666666666663</v>
      </c>
      <c r="L189" s="5">
        <f>_xlfn.RANK.EQ(J189,$J$2:$J$1001,0)</f>
        <v>810</v>
      </c>
    </row>
    <row r="190" spans="1:12" x14ac:dyDescent="0.3">
      <c r="A190" s="5" t="s">
        <v>17</v>
      </c>
      <c r="B190" s="5" t="s">
        <v>13</v>
      </c>
      <c r="C190" s="5" t="s">
        <v>22</v>
      </c>
      <c r="D190" s="5" t="s">
        <v>20</v>
      </c>
      <c r="E190" s="5" t="s">
        <v>12</v>
      </c>
      <c r="F190" s="5">
        <v>59</v>
      </c>
      <c r="G190" s="5">
        <v>53</v>
      </c>
      <c r="H190" s="6">
        <v>52</v>
      </c>
      <c r="I190" s="5">
        <f>SUM(F190:H190)</f>
        <v>164</v>
      </c>
      <c r="J190" s="7">
        <f>AVERAGE(F190:H190)</f>
        <v>54.666666666666664</v>
      </c>
      <c r="K190" s="8">
        <f>I190/300</f>
        <v>0.54666666666666663</v>
      </c>
      <c r="L190" s="5">
        <f>_xlfn.RANK.EQ(J190,$J$2:$J$1001,0)</f>
        <v>810</v>
      </c>
    </row>
    <row r="191" spans="1:12" x14ac:dyDescent="0.3">
      <c r="A191" s="5" t="s">
        <v>17</v>
      </c>
      <c r="B191" s="5" t="s">
        <v>9</v>
      </c>
      <c r="C191" s="5" t="s">
        <v>22</v>
      </c>
      <c r="D191" s="5" t="s">
        <v>11</v>
      </c>
      <c r="E191" s="5" t="s">
        <v>12</v>
      </c>
      <c r="F191" s="5">
        <v>59</v>
      </c>
      <c r="G191" s="5">
        <v>58</v>
      </c>
      <c r="H191" s="6">
        <v>47</v>
      </c>
      <c r="I191" s="5">
        <f>SUM(F191:H191)</f>
        <v>164</v>
      </c>
      <c r="J191" s="7">
        <f>AVERAGE(F191:H191)</f>
        <v>54.666666666666664</v>
      </c>
      <c r="K191" s="8">
        <f>I191/300</f>
        <v>0.54666666666666663</v>
      </c>
      <c r="L191" s="5">
        <f>_xlfn.RANK.EQ(J191,$J$2:$J$1001,0)</f>
        <v>810</v>
      </c>
    </row>
    <row r="192" spans="1:12" x14ac:dyDescent="0.3">
      <c r="A192" s="5" t="s">
        <v>17</v>
      </c>
      <c r="B192" s="5" t="s">
        <v>13</v>
      </c>
      <c r="C192" s="5" t="s">
        <v>22</v>
      </c>
      <c r="D192" s="5" t="s">
        <v>11</v>
      </c>
      <c r="E192" s="5" t="s">
        <v>15</v>
      </c>
      <c r="F192" s="5">
        <v>58</v>
      </c>
      <c r="G192" s="5">
        <v>52</v>
      </c>
      <c r="H192" s="6">
        <v>54</v>
      </c>
      <c r="I192" s="5">
        <f>SUM(F192:H192)</f>
        <v>164</v>
      </c>
      <c r="J192" s="7">
        <f>AVERAGE(F192:H192)</f>
        <v>54.666666666666664</v>
      </c>
      <c r="K192" s="8">
        <f>I192/300</f>
        <v>0.54666666666666663</v>
      </c>
      <c r="L192" s="5">
        <f>_xlfn.RANK.EQ(J192,$J$2:$J$1001,0)</f>
        <v>810</v>
      </c>
    </row>
    <row r="193" spans="1:12" x14ac:dyDescent="0.3">
      <c r="A193" s="5" t="s">
        <v>8</v>
      </c>
      <c r="B193" s="5" t="s">
        <v>21</v>
      </c>
      <c r="C193" s="5" t="s">
        <v>22</v>
      </c>
      <c r="D193" s="5" t="s">
        <v>20</v>
      </c>
      <c r="E193" s="5" t="s">
        <v>15</v>
      </c>
      <c r="F193" s="5">
        <v>52</v>
      </c>
      <c r="G193" s="5">
        <v>57</v>
      </c>
      <c r="H193" s="6">
        <v>56</v>
      </c>
      <c r="I193" s="5">
        <f>SUM(F193:H193)</f>
        <v>165</v>
      </c>
      <c r="J193" s="7">
        <f>AVERAGE(F193:H193)</f>
        <v>55</v>
      </c>
      <c r="K193" s="8">
        <f>I193/300</f>
        <v>0.55000000000000004</v>
      </c>
      <c r="L193" s="5">
        <f>_xlfn.RANK.EQ(J193,$J$2:$J$1001,0)</f>
        <v>808</v>
      </c>
    </row>
    <row r="194" spans="1:12" x14ac:dyDescent="0.3">
      <c r="A194" s="5" t="s">
        <v>17</v>
      </c>
      <c r="B194" s="5" t="s">
        <v>21</v>
      </c>
      <c r="C194" s="5" t="s">
        <v>14</v>
      </c>
      <c r="D194" s="5" t="s">
        <v>11</v>
      </c>
      <c r="E194" s="5" t="s">
        <v>12</v>
      </c>
      <c r="F194" s="5">
        <v>55</v>
      </c>
      <c r="G194" s="5">
        <v>58</v>
      </c>
      <c r="H194" s="6">
        <v>52</v>
      </c>
      <c r="I194" s="5">
        <f>SUM(F194:H194)</f>
        <v>165</v>
      </c>
      <c r="J194" s="7">
        <f>AVERAGE(F194:H194)</f>
        <v>55</v>
      </c>
      <c r="K194" s="8">
        <f>I194/300</f>
        <v>0.55000000000000004</v>
      </c>
      <c r="L194" s="5">
        <f>_xlfn.RANK.EQ(J194,$J$2:$J$1001,0)</f>
        <v>808</v>
      </c>
    </row>
    <row r="195" spans="1:12" x14ac:dyDescent="0.3">
      <c r="A195" s="5" t="s">
        <v>17</v>
      </c>
      <c r="B195" s="5" t="s">
        <v>13</v>
      </c>
      <c r="C195" s="5" t="s">
        <v>22</v>
      </c>
      <c r="D195" s="5" t="s">
        <v>11</v>
      </c>
      <c r="E195" s="5" t="s">
        <v>12</v>
      </c>
      <c r="F195" s="5">
        <v>62</v>
      </c>
      <c r="G195" s="5">
        <v>55</v>
      </c>
      <c r="H195" s="6">
        <v>49</v>
      </c>
      <c r="I195" s="5">
        <f>SUM(F195:H195)</f>
        <v>166</v>
      </c>
      <c r="J195" s="7">
        <f>AVERAGE(F195:H195)</f>
        <v>55.333333333333336</v>
      </c>
      <c r="K195" s="8">
        <f>I195/300</f>
        <v>0.55333333333333334</v>
      </c>
      <c r="L195" s="5">
        <f>_xlfn.RANK.EQ(J195,$J$2:$J$1001,0)</f>
        <v>803</v>
      </c>
    </row>
    <row r="196" spans="1:12" x14ac:dyDescent="0.3">
      <c r="A196" s="5" t="s">
        <v>8</v>
      </c>
      <c r="B196" s="5" t="s">
        <v>18</v>
      </c>
      <c r="C196" s="5" t="s">
        <v>23</v>
      </c>
      <c r="D196" s="5" t="s">
        <v>20</v>
      </c>
      <c r="E196" s="5" t="s">
        <v>12</v>
      </c>
      <c r="F196" s="5">
        <v>44</v>
      </c>
      <c r="G196" s="5">
        <v>64</v>
      </c>
      <c r="H196" s="6">
        <v>58</v>
      </c>
      <c r="I196" s="5">
        <f>SUM(F196:H196)</f>
        <v>166</v>
      </c>
      <c r="J196" s="7">
        <f>AVERAGE(F196:H196)</f>
        <v>55.333333333333336</v>
      </c>
      <c r="K196" s="8">
        <f>I196/300</f>
        <v>0.55333333333333334</v>
      </c>
      <c r="L196" s="5">
        <f>_xlfn.RANK.EQ(J196,$J$2:$J$1001,0)</f>
        <v>803</v>
      </c>
    </row>
    <row r="197" spans="1:12" x14ac:dyDescent="0.3">
      <c r="A197" s="5" t="s">
        <v>17</v>
      </c>
      <c r="B197" s="5" t="s">
        <v>13</v>
      </c>
      <c r="C197" s="5" t="s">
        <v>10</v>
      </c>
      <c r="D197" s="5" t="s">
        <v>20</v>
      </c>
      <c r="E197" s="5" t="s">
        <v>12</v>
      </c>
      <c r="F197" s="5">
        <v>53</v>
      </c>
      <c r="G197" s="5">
        <v>58</v>
      </c>
      <c r="H197" s="6">
        <v>55</v>
      </c>
      <c r="I197" s="5">
        <f>SUM(F197:H197)</f>
        <v>166</v>
      </c>
      <c r="J197" s="7">
        <f>AVERAGE(F197:H197)</f>
        <v>55.333333333333336</v>
      </c>
      <c r="K197" s="8">
        <f>I197/300</f>
        <v>0.55333333333333334</v>
      </c>
      <c r="L197" s="5">
        <f>_xlfn.RANK.EQ(J197,$J$2:$J$1001,0)</f>
        <v>803</v>
      </c>
    </row>
    <row r="198" spans="1:12" x14ac:dyDescent="0.3">
      <c r="A198" s="5" t="s">
        <v>17</v>
      </c>
      <c r="B198" s="5" t="s">
        <v>13</v>
      </c>
      <c r="C198" s="5" t="s">
        <v>19</v>
      </c>
      <c r="D198" s="5" t="s">
        <v>20</v>
      </c>
      <c r="E198" s="5" t="s">
        <v>12</v>
      </c>
      <c r="F198" s="5">
        <v>58</v>
      </c>
      <c r="G198" s="5">
        <v>55</v>
      </c>
      <c r="H198" s="6">
        <v>53</v>
      </c>
      <c r="I198" s="5">
        <f>SUM(F198:H198)</f>
        <v>166</v>
      </c>
      <c r="J198" s="7">
        <f>AVERAGE(F198:H198)</f>
        <v>55.333333333333336</v>
      </c>
      <c r="K198" s="8">
        <f>I198/300</f>
        <v>0.55333333333333334</v>
      </c>
      <c r="L198" s="5">
        <f>_xlfn.RANK.EQ(J198,$J$2:$J$1001,0)</f>
        <v>803</v>
      </c>
    </row>
    <row r="199" spans="1:12" x14ac:dyDescent="0.3">
      <c r="A199" s="5" t="s">
        <v>8</v>
      </c>
      <c r="B199" s="5" t="s">
        <v>13</v>
      </c>
      <c r="C199" s="5" t="s">
        <v>10</v>
      </c>
      <c r="D199" s="5" t="s">
        <v>20</v>
      </c>
      <c r="E199" s="5" t="s">
        <v>12</v>
      </c>
      <c r="F199" s="5">
        <v>43</v>
      </c>
      <c r="G199" s="5">
        <v>62</v>
      </c>
      <c r="H199" s="6">
        <v>61</v>
      </c>
      <c r="I199" s="5">
        <f>SUM(F199:H199)</f>
        <v>166</v>
      </c>
      <c r="J199" s="7">
        <f>AVERAGE(F199:H199)</f>
        <v>55.333333333333336</v>
      </c>
      <c r="K199" s="8">
        <f>I199/300</f>
        <v>0.55333333333333334</v>
      </c>
      <c r="L199" s="5">
        <f>_xlfn.RANK.EQ(J199,$J$2:$J$1001,0)</f>
        <v>803</v>
      </c>
    </row>
    <row r="200" spans="1:12" x14ac:dyDescent="0.3">
      <c r="A200" s="5" t="s">
        <v>17</v>
      </c>
      <c r="B200" s="5" t="s">
        <v>13</v>
      </c>
      <c r="C200" s="5" t="s">
        <v>19</v>
      </c>
      <c r="D200" s="5" t="s">
        <v>20</v>
      </c>
      <c r="E200" s="5" t="s">
        <v>15</v>
      </c>
      <c r="F200" s="5">
        <v>60</v>
      </c>
      <c r="G200" s="5">
        <v>51</v>
      </c>
      <c r="H200" s="6">
        <v>56</v>
      </c>
      <c r="I200" s="5">
        <f>SUM(F200:H200)</f>
        <v>167</v>
      </c>
      <c r="J200" s="7">
        <f>AVERAGE(F200:H200)</f>
        <v>55.666666666666664</v>
      </c>
      <c r="K200" s="8">
        <f>I200/300</f>
        <v>0.55666666666666664</v>
      </c>
      <c r="L200" s="5">
        <f>_xlfn.RANK.EQ(J200,$J$2:$J$1001,0)</f>
        <v>796</v>
      </c>
    </row>
    <row r="201" spans="1:12" x14ac:dyDescent="0.3">
      <c r="A201" s="5" t="s">
        <v>17</v>
      </c>
      <c r="B201" s="5" t="s">
        <v>18</v>
      </c>
      <c r="C201" s="5" t="s">
        <v>10</v>
      </c>
      <c r="D201" s="5" t="s">
        <v>20</v>
      </c>
      <c r="E201" s="5" t="s">
        <v>15</v>
      </c>
      <c r="F201" s="5">
        <v>49</v>
      </c>
      <c r="G201" s="5">
        <v>58</v>
      </c>
      <c r="H201" s="6">
        <v>60</v>
      </c>
      <c r="I201" s="5">
        <f>SUM(F201:H201)</f>
        <v>167</v>
      </c>
      <c r="J201" s="7">
        <f>AVERAGE(F201:H201)</f>
        <v>55.666666666666664</v>
      </c>
      <c r="K201" s="8">
        <f>I201/300</f>
        <v>0.55666666666666664</v>
      </c>
      <c r="L201" s="5">
        <f>_xlfn.RANK.EQ(J201,$J$2:$J$1001,0)</f>
        <v>796</v>
      </c>
    </row>
    <row r="202" spans="1:12" x14ac:dyDescent="0.3">
      <c r="A202" s="5" t="s">
        <v>17</v>
      </c>
      <c r="B202" s="5" t="s">
        <v>13</v>
      </c>
      <c r="C202" s="5" t="s">
        <v>19</v>
      </c>
      <c r="D202" s="5" t="s">
        <v>11</v>
      </c>
      <c r="E202" s="5" t="s">
        <v>15</v>
      </c>
      <c r="F202" s="5">
        <v>57</v>
      </c>
      <c r="G202" s="5">
        <v>54</v>
      </c>
      <c r="H202" s="6">
        <v>56</v>
      </c>
      <c r="I202" s="5">
        <f>SUM(F202:H202)</f>
        <v>167</v>
      </c>
      <c r="J202" s="7">
        <f>AVERAGE(F202:H202)</f>
        <v>55.666666666666664</v>
      </c>
      <c r="K202" s="8">
        <f>I202/300</f>
        <v>0.55666666666666664</v>
      </c>
      <c r="L202" s="5">
        <f>_xlfn.RANK.EQ(J202,$J$2:$J$1001,0)</f>
        <v>796</v>
      </c>
    </row>
    <row r="203" spans="1:12" x14ac:dyDescent="0.3">
      <c r="A203" s="5" t="s">
        <v>17</v>
      </c>
      <c r="B203" s="5" t="s">
        <v>24</v>
      </c>
      <c r="C203" s="5" t="s">
        <v>22</v>
      </c>
      <c r="D203" s="5" t="s">
        <v>20</v>
      </c>
      <c r="E203" s="5" t="s">
        <v>15</v>
      </c>
      <c r="F203" s="5">
        <v>57</v>
      </c>
      <c r="G203" s="5">
        <v>56</v>
      </c>
      <c r="H203" s="6">
        <v>54</v>
      </c>
      <c r="I203" s="5">
        <f>SUM(F203:H203)</f>
        <v>167</v>
      </c>
      <c r="J203" s="7">
        <f>AVERAGE(F203:H203)</f>
        <v>55.666666666666664</v>
      </c>
      <c r="K203" s="8">
        <f>I203/300</f>
        <v>0.55666666666666664</v>
      </c>
      <c r="L203" s="5">
        <f>_xlfn.RANK.EQ(J203,$J$2:$J$1001,0)</f>
        <v>796</v>
      </c>
    </row>
    <row r="204" spans="1:12" x14ac:dyDescent="0.3">
      <c r="A204" s="5" t="s">
        <v>8</v>
      </c>
      <c r="B204" s="5" t="s">
        <v>21</v>
      </c>
      <c r="C204" s="5" t="s">
        <v>19</v>
      </c>
      <c r="D204" s="5" t="s">
        <v>20</v>
      </c>
      <c r="E204" s="5" t="s">
        <v>12</v>
      </c>
      <c r="F204" s="5">
        <v>52</v>
      </c>
      <c r="G204" s="5">
        <v>59</v>
      </c>
      <c r="H204" s="6">
        <v>56</v>
      </c>
      <c r="I204" s="5">
        <f>SUM(F204:H204)</f>
        <v>167</v>
      </c>
      <c r="J204" s="7">
        <f>AVERAGE(F204:H204)</f>
        <v>55.666666666666664</v>
      </c>
      <c r="K204" s="8">
        <f>I204/300</f>
        <v>0.55666666666666664</v>
      </c>
      <c r="L204" s="5">
        <f>_xlfn.RANK.EQ(J204,$J$2:$J$1001,0)</f>
        <v>796</v>
      </c>
    </row>
    <row r="205" spans="1:12" x14ac:dyDescent="0.3">
      <c r="A205" s="5" t="s">
        <v>8</v>
      </c>
      <c r="B205" s="5" t="s">
        <v>21</v>
      </c>
      <c r="C205" s="5" t="s">
        <v>14</v>
      </c>
      <c r="D205" s="5" t="s">
        <v>20</v>
      </c>
      <c r="E205" s="5" t="s">
        <v>12</v>
      </c>
      <c r="F205" s="5">
        <v>49</v>
      </c>
      <c r="G205" s="5">
        <v>58</v>
      </c>
      <c r="H205" s="6">
        <v>60</v>
      </c>
      <c r="I205" s="5">
        <f>SUM(F205:H205)</f>
        <v>167</v>
      </c>
      <c r="J205" s="7">
        <f>AVERAGE(F205:H205)</f>
        <v>55.666666666666664</v>
      </c>
      <c r="K205" s="8">
        <f>I205/300</f>
        <v>0.55666666666666664</v>
      </c>
      <c r="L205" s="5">
        <f>_xlfn.RANK.EQ(J205,$J$2:$J$1001,0)</f>
        <v>796</v>
      </c>
    </row>
    <row r="206" spans="1:12" x14ac:dyDescent="0.3">
      <c r="A206" s="5" t="s">
        <v>8</v>
      </c>
      <c r="B206" s="5" t="s">
        <v>21</v>
      </c>
      <c r="C206" s="5" t="s">
        <v>22</v>
      </c>
      <c r="D206" s="5" t="s">
        <v>11</v>
      </c>
      <c r="E206" s="5" t="s">
        <v>12</v>
      </c>
      <c r="F206" s="5">
        <v>45</v>
      </c>
      <c r="G206" s="5">
        <v>63</v>
      </c>
      <c r="H206" s="6">
        <v>59</v>
      </c>
      <c r="I206" s="5">
        <f>SUM(F206:H206)</f>
        <v>167</v>
      </c>
      <c r="J206" s="7">
        <f>AVERAGE(F206:H206)</f>
        <v>55.666666666666664</v>
      </c>
      <c r="K206" s="8">
        <f>I206/300</f>
        <v>0.55666666666666664</v>
      </c>
      <c r="L206" s="5">
        <f>_xlfn.RANK.EQ(J206,$J$2:$J$1001,0)</f>
        <v>796</v>
      </c>
    </row>
    <row r="207" spans="1:12" x14ac:dyDescent="0.3">
      <c r="A207" s="5" t="s">
        <v>17</v>
      </c>
      <c r="B207" s="5" t="s">
        <v>21</v>
      </c>
      <c r="C207" s="5" t="s">
        <v>19</v>
      </c>
      <c r="D207" s="5" t="s">
        <v>11</v>
      </c>
      <c r="E207" s="5" t="s">
        <v>12</v>
      </c>
      <c r="F207" s="5">
        <v>61</v>
      </c>
      <c r="G207" s="5">
        <v>55</v>
      </c>
      <c r="H207" s="6">
        <v>52</v>
      </c>
      <c r="I207" s="5">
        <f>SUM(F207:H207)</f>
        <v>168</v>
      </c>
      <c r="J207" s="7">
        <f>AVERAGE(F207:H207)</f>
        <v>56</v>
      </c>
      <c r="K207" s="8">
        <f>I207/300</f>
        <v>0.56000000000000005</v>
      </c>
      <c r="L207" s="5">
        <f>_xlfn.RANK.EQ(J207,$J$2:$J$1001,0)</f>
        <v>786</v>
      </c>
    </row>
    <row r="208" spans="1:12" x14ac:dyDescent="0.3">
      <c r="A208" s="5" t="s">
        <v>8</v>
      </c>
      <c r="B208" s="5" t="s">
        <v>13</v>
      </c>
      <c r="C208" s="5" t="s">
        <v>14</v>
      </c>
      <c r="D208" s="5" t="s">
        <v>11</v>
      </c>
      <c r="E208" s="5" t="s">
        <v>12</v>
      </c>
      <c r="F208" s="5">
        <v>52</v>
      </c>
      <c r="G208" s="5">
        <v>58</v>
      </c>
      <c r="H208" s="6">
        <v>58</v>
      </c>
      <c r="I208" s="5">
        <f>SUM(F208:H208)</f>
        <v>168</v>
      </c>
      <c r="J208" s="7">
        <f>AVERAGE(F208:H208)</f>
        <v>56</v>
      </c>
      <c r="K208" s="8">
        <f>I208/300</f>
        <v>0.56000000000000005</v>
      </c>
      <c r="L208" s="5">
        <f>_xlfn.RANK.EQ(J208,$J$2:$J$1001,0)</f>
        <v>786</v>
      </c>
    </row>
    <row r="209" spans="1:12" x14ac:dyDescent="0.3">
      <c r="A209" s="5" t="s">
        <v>17</v>
      </c>
      <c r="B209" s="5" t="s">
        <v>9</v>
      </c>
      <c r="C209" s="5" t="s">
        <v>10</v>
      </c>
      <c r="D209" s="5" t="s">
        <v>20</v>
      </c>
      <c r="E209" s="5" t="s">
        <v>12</v>
      </c>
      <c r="F209" s="5">
        <v>55</v>
      </c>
      <c r="G209" s="5">
        <v>59</v>
      </c>
      <c r="H209" s="6">
        <v>54</v>
      </c>
      <c r="I209" s="5">
        <f>SUM(F209:H209)</f>
        <v>168</v>
      </c>
      <c r="J209" s="7">
        <f>AVERAGE(F209:H209)</f>
        <v>56</v>
      </c>
      <c r="K209" s="8">
        <f>I209/300</f>
        <v>0.56000000000000005</v>
      </c>
      <c r="L209" s="5">
        <f>_xlfn.RANK.EQ(J209,$J$2:$J$1001,0)</f>
        <v>786</v>
      </c>
    </row>
    <row r="210" spans="1:12" x14ac:dyDescent="0.3">
      <c r="A210" s="5" t="s">
        <v>17</v>
      </c>
      <c r="B210" s="5" t="s">
        <v>21</v>
      </c>
      <c r="C210" s="5" t="s">
        <v>22</v>
      </c>
      <c r="D210" s="5" t="s">
        <v>20</v>
      </c>
      <c r="E210" s="5" t="s">
        <v>12</v>
      </c>
      <c r="F210" s="5">
        <v>60</v>
      </c>
      <c r="G210" s="5">
        <v>57</v>
      </c>
      <c r="H210" s="6">
        <v>51</v>
      </c>
      <c r="I210" s="5">
        <f>SUM(F210:H210)</f>
        <v>168</v>
      </c>
      <c r="J210" s="7">
        <f>AVERAGE(F210:H210)</f>
        <v>56</v>
      </c>
      <c r="K210" s="8">
        <f>I210/300</f>
        <v>0.56000000000000005</v>
      </c>
      <c r="L210" s="5">
        <f>_xlfn.RANK.EQ(J210,$J$2:$J$1001,0)</f>
        <v>786</v>
      </c>
    </row>
    <row r="211" spans="1:12" x14ac:dyDescent="0.3">
      <c r="A211" s="5" t="s">
        <v>8</v>
      </c>
      <c r="B211" s="5" t="s">
        <v>13</v>
      </c>
      <c r="C211" s="5" t="s">
        <v>23</v>
      </c>
      <c r="D211" s="5" t="s">
        <v>11</v>
      </c>
      <c r="E211" s="5" t="s">
        <v>12</v>
      </c>
      <c r="F211" s="5">
        <v>49</v>
      </c>
      <c r="G211" s="5">
        <v>63</v>
      </c>
      <c r="H211" s="6">
        <v>56</v>
      </c>
      <c r="I211" s="5">
        <f>SUM(F211:H211)</f>
        <v>168</v>
      </c>
      <c r="J211" s="7">
        <f>AVERAGE(F211:H211)</f>
        <v>56</v>
      </c>
      <c r="K211" s="8">
        <f>I211/300</f>
        <v>0.56000000000000005</v>
      </c>
      <c r="L211" s="5">
        <f>_xlfn.RANK.EQ(J211,$J$2:$J$1001,0)</f>
        <v>786</v>
      </c>
    </row>
    <row r="212" spans="1:12" x14ac:dyDescent="0.3">
      <c r="A212" s="5" t="s">
        <v>8</v>
      </c>
      <c r="B212" s="5" t="s">
        <v>24</v>
      </c>
      <c r="C212" s="5" t="s">
        <v>14</v>
      </c>
      <c r="D212" s="5" t="s">
        <v>20</v>
      </c>
      <c r="E212" s="5" t="s">
        <v>12</v>
      </c>
      <c r="F212" s="5">
        <v>53</v>
      </c>
      <c r="G212" s="5">
        <v>58</v>
      </c>
      <c r="H212" s="6">
        <v>57</v>
      </c>
      <c r="I212" s="5">
        <f>SUM(F212:H212)</f>
        <v>168</v>
      </c>
      <c r="J212" s="7">
        <f>AVERAGE(F212:H212)</f>
        <v>56</v>
      </c>
      <c r="K212" s="8">
        <f>I212/300</f>
        <v>0.56000000000000005</v>
      </c>
      <c r="L212" s="5">
        <f>_xlfn.RANK.EQ(J212,$J$2:$J$1001,0)</f>
        <v>786</v>
      </c>
    </row>
    <row r="213" spans="1:12" x14ac:dyDescent="0.3">
      <c r="A213" s="5" t="s">
        <v>8</v>
      </c>
      <c r="B213" s="5" t="s">
        <v>18</v>
      </c>
      <c r="C213" s="5" t="s">
        <v>10</v>
      </c>
      <c r="D213" s="5" t="s">
        <v>11</v>
      </c>
      <c r="E213" s="5" t="s">
        <v>12</v>
      </c>
      <c r="F213" s="5">
        <v>45</v>
      </c>
      <c r="G213" s="5">
        <v>59</v>
      </c>
      <c r="H213" s="6">
        <v>64</v>
      </c>
      <c r="I213" s="5">
        <f>SUM(F213:H213)</f>
        <v>168</v>
      </c>
      <c r="J213" s="7">
        <f>AVERAGE(F213:H213)</f>
        <v>56</v>
      </c>
      <c r="K213" s="8">
        <f>I213/300</f>
        <v>0.56000000000000005</v>
      </c>
      <c r="L213" s="5">
        <f>_xlfn.RANK.EQ(J213,$J$2:$J$1001,0)</f>
        <v>786</v>
      </c>
    </row>
    <row r="214" spans="1:12" x14ac:dyDescent="0.3">
      <c r="A214" s="5" t="s">
        <v>17</v>
      </c>
      <c r="B214" s="5" t="s">
        <v>9</v>
      </c>
      <c r="C214" s="5" t="s">
        <v>19</v>
      </c>
      <c r="D214" s="5" t="s">
        <v>20</v>
      </c>
      <c r="E214" s="5" t="s">
        <v>15</v>
      </c>
      <c r="F214" s="5">
        <v>58</v>
      </c>
      <c r="G214" s="5">
        <v>57</v>
      </c>
      <c r="H214" s="6">
        <v>53</v>
      </c>
      <c r="I214" s="5">
        <f>SUM(F214:H214)</f>
        <v>168</v>
      </c>
      <c r="J214" s="7">
        <f>AVERAGE(F214:H214)</f>
        <v>56</v>
      </c>
      <c r="K214" s="8">
        <f>I214/300</f>
        <v>0.56000000000000005</v>
      </c>
      <c r="L214" s="5">
        <f>_xlfn.RANK.EQ(J214,$J$2:$J$1001,0)</f>
        <v>786</v>
      </c>
    </row>
    <row r="215" spans="1:12" x14ac:dyDescent="0.3">
      <c r="A215" s="5" t="s">
        <v>17</v>
      </c>
      <c r="B215" s="5" t="s">
        <v>21</v>
      </c>
      <c r="C215" s="5" t="s">
        <v>22</v>
      </c>
      <c r="D215" s="5" t="s">
        <v>11</v>
      </c>
      <c r="E215" s="5" t="s">
        <v>12</v>
      </c>
      <c r="F215" s="5">
        <v>64</v>
      </c>
      <c r="G215" s="5">
        <v>54</v>
      </c>
      <c r="H215" s="6">
        <v>50</v>
      </c>
      <c r="I215" s="5">
        <f>SUM(F215:H215)</f>
        <v>168</v>
      </c>
      <c r="J215" s="7">
        <f>AVERAGE(F215:H215)</f>
        <v>56</v>
      </c>
      <c r="K215" s="8">
        <f>I215/300</f>
        <v>0.56000000000000005</v>
      </c>
      <c r="L215" s="5">
        <f>_xlfn.RANK.EQ(J215,$J$2:$J$1001,0)</f>
        <v>786</v>
      </c>
    </row>
    <row r="216" spans="1:12" x14ac:dyDescent="0.3">
      <c r="A216" s="5" t="s">
        <v>8</v>
      </c>
      <c r="B216" s="5" t="s">
        <v>13</v>
      </c>
      <c r="C216" s="5" t="s">
        <v>19</v>
      </c>
      <c r="D216" s="5" t="s">
        <v>11</v>
      </c>
      <c r="E216" s="5" t="s">
        <v>12</v>
      </c>
      <c r="F216" s="5">
        <v>53</v>
      </c>
      <c r="G216" s="5">
        <v>62</v>
      </c>
      <c r="H216" s="6">
        <v>53</v>
      </c>
      <c r="I216" s="5">
        <f>SUM(F216:H216)</f>
        <v>168</v>
      </c>
      <c r="J216" s="7">
        <f>AVERAGE(F216:H216)</f>
        <v>56</v>
      </c>
      <c r="K216" s="8">
        <f>I216/300</f>
        <v>0.56000000000000005</v>
      </c>
      <c r="L216" s="5">
        <f>_xlfn.RANK.EQ(J216,$J$2:$J$1001,0)</f>
        <v>786</v>
      </c>
    </row>
    <row r="217" spans="1:12" x14ac:dyDescent="0.3">
      <c r="A217" s="5" t="s">
        <v>8</v>
      </c>
      <c r="B217" s="5" t="s">
        <v>18</v>
      </c>
      <c r="C217" s="5" t="s">
        <v>14</v>
      </c>
      <c r="D217" s="5" t="s">
        <v>20</v>
      </c>
      <c r="E217" s="5" t="s">
        <v>12</v>
      </c>
      <c r="F217" s="5">
        <v>49</v>
      </c>
      <c r="G217" s="5">
        <v>65</v>
      </c>
      <c r="H217" s="6">
        <v>55</v>
      </c>
      <c r="I217" s="5">
        <f>SUM(F217:H217)</f>
        <v>169</v>
      </c>
      <c r="J217" s="7">
        <f>AVERAGE(F217:H217)</f>
        <v>56.333333333333336</v>
      </c>
      <c r="K217" s="8">
        <f>I217/300</f>
        <v>0.56333333333333335</v>
      </c>
      <c r="L217" s="5">
        <f>_xlfn.RANK.EQ(J217,$J$2:$J$1001,0)</f>
        <v>780</v>
      </c>
    </row>
    <row r="218" spans="1:12" x14ac:dyDescent="0.3">
      <c r="A218" s="5" t="s">
        <v>17</v>
      </c>
      <c r="B218" s="5" t="s">
        <v>13</v>
      </c>
      <c r="C218" s="5" t="s">
        <v>19</v>
      </c>
      <c r="D218" s="5" t="s">
        <v>11</v>
      </c>
      <c r="E218" s="5" t="s">
        <v>15</v>
      </c>
      <c r="F218" s="5">
        <v>51</v>
      </c>
      <c r="G218" s="5">
        <v>60</v>
      </c>
      <c r="H218" s="6">
        <v>58</v>
      </c>
      <c r="I218" s="5">
        <f>SUM(F218:H218)</f>
        <v>169</v>
      </c>
      <c r="J218" s="7">
        <f>AVERAGE(F218:H218)</f>
        <v>56.333333333333336</v>
      </c>
      <c r="K218" s="8">
        <f>I218/300</f>
        <v>0.56333333333333335</v>
      </c>
      <c r="L218" s="5">
        <f>_xlfn.RANK.EQ(J218,$J$2:$J$1001,0)</f>
        <v>780</v>
      </c>
    </row>
    <row r="219" spans="1:12" x14ac:dyDescent="0.3">
      <c r="A219" s="5" t="s">
        <v>8</v>
      </c>
      <c r="B219" s="5" t="s">
        <v>13</v>
      </c>
      <c r="C219" s="5" t="s">
        <v>10</v>
      </c>
      <c r="D219" s="5" t="s">
        <v>20</v>
      </c>
      <c r="E219" s="5" t="s">
        <v>12</v>
      </c>
      <c r="F219" s="5">
        <v>44</v>
      </c>
      <c r="G219" s="5">
        <v>63</v>
      </c>
      <c r="H219" s="6">
        <v>62</v>
      </c>
      <c r="I219" s="5">
        <f>SUM(F219:H219)</f>
        <v>169</v>
      </c>
      <c r="J219" s="7">
        <f>AVERAGE(F219:H219)</f>
        <v>56.333333333333336</v>
      </c>
      <c r="K219" s="8">
        <f>I219/300</f>
        <v>0.56333333333333335</v>
      </c>
      <c r="L219" s="5">
        <f>_xlfn.RANK.EQ(J219,$J$2:$J$1001,0)</f>
        <v>780</v>
      </c>
    </row>
    <row r="220" spans="1:12" x14ac:dyDescent="0.3">
      <c r="A220" s="5" t="s">
        <v>17</v>
      </c>
      <c r="B220" s="5" t="s">
        <v>13</v>
      </c>
      <c r="C220" s="5" t="s">
        <v>14</v>
      </c>
      <c r="D220" s="5" t="s">
        <v>20</v>
      </c>
      <c r="E220" s="5" t="s">
        <v>12</v>
      </c>
      <c r="F220" s="5">
        <v>58</v>
      </c>
      <c r="G220" s="5">
        <v>57</v>
      </c>
      <c r="H220" s="6">
        <v>54</v>
      </c>
      <c r="I220" s="5">
        <f>SUM(F220:H220)</f>
        <v>169</v>
      </c>
      <c r="J220" s="7">
        <f>AVERAGE(F220:H220)</f>
        <v>56.333333333333336</v>
      </c>
      <c r="K220" s="8">
        <f>I220/300</f>
        <v>0.56333333333333335</v>
      </c>
      <c r="L220" s="5">
        <f>_xlfn.RANK.EQ(J220,$J$2:$J$1001,0)</f>
        <v>780</v>
      </c>
    </row>
    <row r="221" spans="1:12" x14ac:dyDescent="0.3">
      <c r="A221" s="5" t="s">
        <v>8</v>
      </c>
      <c r="B221" s="5" t="s">
        <v>13</v>
      </c>
      <c r="C221" s="5" t="s">
        <v>10</v>
      </c>
      <c r="D221" s="5" t="s">
        <v>20</v>
      </c>
      <c r="E221" s="5" t="s">
        <v>12</v>
      </c>
      <c r="F221" s="5">
        <v>50</v>
      </c>
      <c r="G221" s="5">
        <v>60</v>
      </c>
      <c r="H221" s="6">
        <v>59</v>
      </c>
      <c r="I221" s="5">
        <f>SUM(F221:H221)</f>
        <v>169</v>
      </c>
      <c r="J221" s="7">
        <f>AVERAGE(F221:H221)</f>
        <v>56.333333333333336</v>
      </c>
      <c r="K221" s="8">
        <f>I221/300</f>
        <v>0.56333333333333335</v>
      </c>
      <c r="L221" s="5">
        <f>_xlfn.RANK.EQ(J221,$J$2:$J$1001,0)</f>
        <v>780</v>
      </c>
    </row>
    <row r="222" spans="1:12" x14ac:dyDescent="0.3">
      <c r="A222" s="5" t="s">
        <v>8</v>
      </c>
      <c r="B222" s="5" t="s">
        <v>21</v>
      </c>
      <c r="C222" s="5" t="s">
        <v>23</v>
      </c>
      <c r="D222" s="5" t="s">
        <v>20</v>
      </c>
      <c r="E222" s="5" t="s">
        <v>15</v>
      </c>
      <c r="F222" s="5">
        <v>40</v>
      </c>
      <c r="G222" s="5">
        <v>65</v>
      </c>
      <c r="H222" s="6">
        <v>64</v>
      </c>
      <c r="I222" s="5">
        <f>SUM(F222:H222)</f>
        <v>169</v>
      </c>
      <c r="J222" s="7">
        <f>AVERAGE(F222:H222)</f>
        <v>56.333333333333336</v>
      </c>
      <c r="K222" s="8">
        <f>I222/300</f>
        <v>0.56333333333333335</v>
      </c>
      <c r="L222" s="5">
        <f>_xlfn.RANK.EQ(J222,$J$2:$J$1001,0)</f>
        <v>780</v>
      </c>
    </row>
    <row r="223" spans="1:12" x14ac:dyDescent="0.3">
      <c r="A223" s="5" t="s">
        <v>17</v>
      </c>
      <c r="B223" s="5" t="s">
        <v>9</v>
      </c>
      <c r="C223" s="5" t="s">
        <v>19</v>
      </c>
      <c r="D223" s="5" t="s">
        <v>20</v>
      </c>
      <c r="E223" s="5" t="s">
        <v>12</v>
      </c>
      <c r="F223" s="5">
        <v>57</v>
      </c>
      <c r="G223" s="5">
        <v>56</v>
      </c>
      <c r="H223" s="6">
        <v>57</v>
      </c>
      <c r="I223" s="5">
        <f>SUM(F223:H223)</f>
        <v>170</v>
      </c>
      <c r="J223" s="7">
        <f>AVERAGE(F223:H223)</f>
        <v>56.666666666666664</v>
      </c>
      <c r="K223" s="8">
        <f>I223/300</f>
        <v>0.56666666666666665</v>
      </c>
      <c r="L223" s="5">
        <f>_xlfn.RANK.EQ(J223,$J$2:$J$1001,0)</f>
        <v>776</v>
      </c>
    </row>
    <row r="224" spans="1:12" x14ac:dyDescent="0.3">
      <c r="A224" s="5" t="s">
        <v>17</v>
      </c>
      <c r="B224" s="5" t="s">
        <v>13</v>
      </c>
      <c r="C224" s="5" t="s">
        <v>19</v>
      </c>
      <c r="D224" s="5" t="s">
        <v>20</v>
      </c>
      <c r="E224" s="5" t="s">
        <v>12</v>
      </c>
      <c r="F224" s="5">
        <v>55</v>
      </c>
      <c r="G224" s="5">
        <v>61</v>
      </c>
      <c r="H224" s="6">
        <v>54</v>
      </c>
      <c r="I224" s="5">
        <f>SUM(F224:H224)</f>
        <v>170</v>
      </c>
      <c r="J224" s="7">
        <f>AVERAGE(F224:H224)</f>
        <v>56.666666666666664</v>
      </c>
      <c r="K224" s="8">
        <f>I224/300</f>
        <v>0.56666666666666665</v>
      </c>
      <c r="L224" s="5">
        <f>_xlfn.RANK.EQ(J224,$J$2:$J$1001,0)</f>
        <v>776</v>
      </c>
    </row>
    <row r="225" spans="1:12" x14ac:dyDescent="0.3">
      <c r="A225" s="5" t="s">
        <v>8</v>
      </c>
      <c r="B225" s="5" t="s">
        <v>13</v>
      </c>
      <c r="C225" s="5" t="s">
        <v>23</v>
      </c>
      <c r="D225" s="5" t="s">
        <v>20</v>
      </c>
      <c r="E225" s="5" t="s">
        <v>15</v>
      </c>
      <c r="F225" s="5">
        <v>50</v>
      </c>
      <c r="G225" s="5">
        <v>60</v>
      </c>
      <c r="H225" s="6">
        <v>60</v>
      </c>
      <c r="I225" s="5">
        <f>SUM(F225:H225)</f>
        <v>170</v>
      </c>
      <c r="J225" s="7">
        <f>AVERAGE(F225:H225)</f>
        <v>56.666666666666664</v>
      </c>
      <c r="K225" s="8">
        <f>I225/300</f>
        <v>0.56666666666666665</v>
      </c>
      <c r="L225" s="5">
        <f>_xlfn.RANK.EQ(J225,$J$2:$J$1001,0)</f>
        <v>776</v>
      </c>
    </row>
    <row r="226" spans="1:12" x14ac:dyDescent="0.3">
      <c r="A226" s="5" t="s">
        <v>8</v>
      </c>
      <c r="B226" s="5" t="s">
        <v>9</v>
      </c>
      <c r="C226" s="5" t="s">
        <v>22</v>
      </c>
      <c r="D226" s="5" t="s">
        <v>11</v>
      </c>
      <c r="E226" s="5" t="s">
        <v>12</v>
      </c>
      <c r="F226" s="5">
        <v>48</v>
      </c>
      <c r="G226" s="5">
        <v>62</v>
      </c>
      <c r="H226" s="6">
        <v>60</v>
      </c>
      <c r="I226" s="5">
        <f>SUM(F226:H226)</f>
        <v>170</v>
      </c>
      <c r="J226" s="7">
        <f>AVERAGE(F226:H226)</f>
        <v>56.666666666666664</v>
      </c>
      <c r="K226" s="8">
        <f>I226/300</f>
        <v>0.56666666666666665</v>
      </c>
      <c r="L226" s="5">
        <f>_xlfn.RANK.EQ(J226,$J$2:$J$1001,0)</f>
        <v>776</v>
      </c>
    </row>
    <row r="227" spans="1:12" x14ac:dyDescent="0.3">
      <c r="A227" s="5" t="s">
        <v>17</v>
      </c>
      <c r="B227" s="5" t="s">
        <v>24</v>
      </c>
      <c r="C227" s="5" t="s">
        <v>19</v>
      </c>
      <c r="D227" s="5" t="s">
        <v>11</v>
      </c>
      <c r="E227" s="5" t="s">
        <v>15</v>
      </c>
      <c r="F227" s="5">
        <v>62</v>
      </c>
      <c r="G227" s="5">
        <v>56</v>
      </c>
      <c r="H227" s="6">
        <v>53</v>
      </c>
      <c r="I227" s="5">
        <f>SUM(F227:H227)</f>
        <v>171</v>
      </c>
      <c r="J227" s="7">
        <f>AVERAGE(F227:H227)</f>
        <v>57</v>
      </c>
      <c r="K227" s="8">
        <f>I227/300</f>
        <v>0.56999999999999995</v>
      </c>
      <c r="L227" s="5">
        <f>_xlfn.RANK.EQ(J227,$J$2:$J$1001,0)</f>
        <v>772</v>
      </c>
    </row>
    <row r="228" spans="1:12" x14ac:dyDescent="0.3">
      <c r="A228" s="5" t="s">
        <v>17</v>
      </c>
      <c r="B228" s="5" t="s">
        <v>13</v>
      </c>
      <c r="C228" s="5" t="s">
        <v>22</v>
      </c>
      <c r="D228" s="5" t="s">
        <v>20</v>
      </c>
      <c r="E228" s="5" t="s">
        <v>12</v>
      </c>
      <c r="F228" s="5">
        <v>58</v>
      </c>
      <c r="G228" s="5">
        <v>61</v>
      </c>
      <c r="H228" s="6">
        <v>52</v>
      </c>
      <c r="I228" s="5">
        <f>SUM(F228:H228)</f>
        <v>171</v>
      </c>
      <c r="J228" s="7">
        <f>AVERAGE(F228:H228)</f>
        <v>57</v>
      </c>
      <c r="K228" s="8">
        <f>I228/300</f>
        <v>0.56999999999999995</v>
      </c>
      <c r="L228" s="5">
        <f>_xlfn.RANK.EQ(J228,$J$2:$J$1001,0)</f>
        <v>772</v>
      </c>
    </row>
    <row r="229" spans="1:12" x14ac:dyDescent="0.3">
      <c r="A229" s="5" t="s">
        <v>8</v>
      </c>
      <c r="B229" s="5" t="s">
        <v>13</v>
      </c>
      <c r="C229" s="5" t="s">
        <v>14</v>
      </c>
      <c r="D229" s="5" t="s">
        <v>11</v>
      </c>
      <c r="E229" s="5" t="s">
        <v>12</v>
      </c>
      <c r="F229" s="5">
        <v>53</v>
      </c>
      <c r="G229" s="5">
        <v>62</v>
      </c>
      <c r="H229" s="6">
        <v>56</v>
      </c>
      <c r="I229" s="5">
        <f>SUM(F229:H229)</f>
        <v>171</v>
      </c>
      <c r="J229" s="7">
        <f>AVERAGE(F229:H229)</f>
        <v>57</v>
      </c>
      <c r="K229" s="8">
        <f>I229/300</f>
        <v>0.56999999999999995</v>
      </c>
      <c r="L229" s="5">
        <f>_xlfn.RANK.EQ(J229,$J$2:$J$1001,0)</f>
        <v>772</v>
      </c>
    </row>
    <row r="230" spans="1:12" x14ac:dyDescent="0.3">
      <c r="A230" s="5" t="s">
        <v>17</v>
      </c>
      <c r="B230" s="5" t="s">
        <v>9</v>
      </c>
      <c r="C230" s="5" t="s">
        <v>22</v>
      </c>
      <c r="D230" s="5" t="s">
        <v>11</v>
      </c>
      <c r="E230" s="5" t="s">
        <v>12</v>
      </c>
      <c r="F230" s="5">
        <v>62</v>
      </c>
      <c r="G230" s="5">
        <v>55</v>
      </c>
      <c r="H230" s="6">
        <v>54</v>
      </c>
      <c r="I230" s="5">
        <f>SUM(F230:H230)</f>
        <v>171</v>
      </c>
      <c r="J230" s="7">
        <f>AVERAGE(F230:H230)</f>
        <v>57</v>
      </c>
      <c r="K230" s="8">
        <f>I230/300</f>
        <v>0.56999999999999995</v>
      </c>
      <c r="L230" s="5">
        <f>_xlfn.RANK.EQ(J230,$J$2:$J$1001,0)</f>
        <v>772</v>
      </c>
    </row>
    <row r="231" spans="1:12" x14ac:dyDescent="0.3">
      <c r="A231" s="5" t="s">
        <v>8</v>
      </c>
      <c r="B231" s="5" t="s">
        <v>21</v>
      </c>
      <c r="C231" s="5" t="s">
        <v>16</v>
      </c>
      <c r="D231" s="5" t="s">
        <v>20</v>
      </c>
      <c r="E231" s="5" t="s">
        <v>15</v>
      </c>
      <c r="F231" s="5">
        <v>47</v>
      </c>
      <c r="G231" s="5">
        <v>58</v>
      </c>
      <c r="H231" s="6">
        <v>67</v>
      </c>
      <c r="I231" s="5">
        <f>SUM(F231:H231)</f>
        <v>172</v>
      </c>
      <c r="J231" s="7">
        <f>AVERAGE(F231:H231)</f>
        <v>57.333333333333336</v>
      </c>
      <c r="K231" s="8">
        <f>I231/300</f>
        <v>0.57333333333333336</v>
      </c>
      <c r="L231" s="5">
        <f>_xlfn.RANK.EQ(J231,$J$2:$J$1001,0)</f>
        <v>764</v>
      </c>
    </row>
    <row r="232" spans="1:12" x14ac:dyDescent="0.3">
      <c r="A232" s="5" t="s">
        <v>17</v>
      </c>
      <c r="B232" s="5" t="s">
        <v>13</v>
      </c>
      <c r="C232" s="5" t="s">
        <v>22</v>
      </c>
      <c r="D232" s="5" t="s">
        <v>11</v>
      </c>
      <c r="E232" s="5" t="s">
        <v>12</v>
      </c>
      <c r="F232" s="5">
        <v>61</v>
      </c>
      <c r="G232" s="5">
        <v>56</v>
      </c>
      <c r="H232" s="6">
        <v>55</v>
      </c>
      <c r="I232" s="5">
        <f>SUM(F232:H232)</f>
        <v>172</v>
      </c>
      <c r="J232" s="7">
        <f>AVERAGE(F232:H232)</f>
        <v>57.333333333333336</v>
      </c>
      <c r="K232" s="8">
        <f>I232/300</f>
        <v>0.57333333333333336</v>
      </c>
      <c r="L232" s="5">
        <f>_xlfn.RANK.EQ(J232,$J$2:$J$1001,0)</f>
        <v>764</v>
      </c>
    </row>
    <row r="233" spans="1:12" x14ac:dyDescent="0.3">
      <c r="A233" s="5" t="s">
        <v>17</v>
      </c>
      <c r="B233" s="5" t="s">
        <v>13</v>
      </c>
      <c r="C233" s="5" t="s">
        <v>14</v>
      </c>
      <c r="D233" s="5" t="s">
        <v>20</v>
      </c>
      <c r="E233" s="5" t="s">
        <v>12</v>
      </c>
      <c r="F233" s="5">
        <v>65</v>
      </c>
      <c r="G233" s="5">
        <v>58</v>
      </c>
      <c r="H233" s="6">
        <v>49</v>
      </c>
      <c r="I233" s="5">
        <f>SUM(F233:H233)</f>
        <v>172</v>
      </c>
      <c r="J233" s="7">
        <f>AVERAGE(F233:H233)</f>
        <v>57.333333333333336</v>
      </c>
      <c r="K233" s="8">
        <f>I233/300</f>
        <v>0.57333333333333336</v>
      </c>
      <c r="L233" s="5">
        <f>_xlfn.RANK.EQ(J233,$J$2:$J$1001,0)</f>
        <v>764</v>
      </c>
    </row>
    <row r="234" spans="1:12" x14ac:dyDescent="0.3">
      <c r="A234" s="5" t="s">
        <v>17</v>
      </c>
      <c r="B234" s="5" t="s">
        <v>21</v>
      </c>
      <c r="C234" s="5" t="s">
        <v>14</v>
      </c>
      <c r="D234" s="5" t="s">
        <v>11</v>
      </c>
      <c r="E234" s="5" t="s">
        <v>12</v>
      </c>
      <c r="F234" s="5">
        <v>71</v>
      </c>
      <c r="G234" s="5">
        <v>49</v>
      </c>
      <c r="H234" s="6">
        <v>52</v>
      </c>
      <c r="I234" s="5">
        <f>SUM(F234:H234)</f>
        <v>172</v>
      </c>
      <c r="J234" s="7">
        <f>AVERAGE(F234:H234)</f>
        <v>57.333333333333336</v>
      </c>
      <c r="K234" s="8">
        <f>I234/300</f>
        <v>0.57333333333333336</v>
      </c>
      <c r="L234" s="5">
        <f>_xlfn.RANK.EQ(J234,$J$2:$J$1001,0)</f>
        <v>764</v>
      </c>
    </row>
    <row r="235" spans="1:12" x14ac:dyDescent="0.3">
      <c r="A235" s="5" t="s">
        <v>17</v>
      </c>
      <c r="B235" s="5" t="s">
        <v>13</v>
      </c>
      <c r="C235" s="5" t="s">
        <v>23</v>
      </c>
      <c r="D235" s="5" t="s">
        <v>11</v>
      </c>
      <c r="E235" s="5" t="s">
        <v>12</v>
      </c>
      <c r="F235" s="5">
        <v>57</v>
      </c>
      <c r="G235" s="5">
        <v>61</v>
      </c>
      <c r="H235" s="6">
        <v>54</v>
      </c>
      <c r="I235" s="5">
        <f>SUM(F235:H235)</f>
        <v>172</v>
      </c>
      <c r="J235" s="7">
        <f>AVERAGE(F235:H235)</f>
        <v>57.333333333333336</v>
      </c>
      <c r="K235" s="8">
        <f>I235/300</f>
        <v>0.57333333333333336</v>
      </c>
      <c r="L235" s="5">
        <f>_xlfn.RANK.EQ(J235,$J$2:$J$1001,0)</f>
        <v>764</v>
      </c>
    </row>
    <row r="236" spans="1:12" x14ac:dyDescent="0.3">
      <c r="A236" s="5" t="s">
        <v>17</v>
      </c>
      <c r="B236" s="5" t="s">
        <v>24</v>
      </c>
      <c r="C236" s="5" t="s">
        <v>19</v>
      </c>
      <c r="D236" s="5" t="s">
        <v>20</v>
      </c>
      <c r="E236" s="5" t="s">
        <v>12</v>
      </c>
      <c r="F236" s="5">
        <v>64</v>
      </c>
      <c r="G236" s="5">
        <v>56</v>
      </c>
      <c r="H236" s="6">
        <v>52</v>
      </c>
      <c r="I236" s="5">
        <f>SUM(F236:H236)</f>
        <v>172</v>
      </c>
      <c r="J236" s="7">
        <f>AVERAGE(F236:H236)</f>
        <v>57.333333333333336</v>
      </c>
      <c r="K236" s="8">
        <f>I236/300</f>
        <v>0.57333333333333336</v>
      </c>
      <c r="L236" s="5">
        <f>_xlfn.RANK.EQ(J236,$J$2:$J$1001,0)</f>
        <v>764</v>
      </c>
    </row>
    <row r="237" spans="1:12" x14ac:dyDescent="0.3">
      <c r="A237" s="5" t="s">
        <v>8</v>
      </c>
      <c r="B237" s="5" t="s">
        <v>24</v>
      </c>
      <c r="C237" s="5" t="s">
        <v>22</v>
      </c>
      <c r="D237" s="5" t="s">
        <v>20</v>
      </c>
      <c r="E237" s="5" t="s">
        <v>12</v>
      </c>
      <c r="F237" s="5">
        <v>57</v>
      </c>
      <c r="G237" s="5">
        <v>58</v>
      </c>
      <c r="H237" s="6">
        <v>57</v>
      </c>
      <c r="I237" s="5">
        <f>SUM(F237:H237)</f>
        <v>172</v>
      </c>
      <c r="J237" s="7">
        <f>AVERAGE(F237:H237)</f>
        <v>57.333333333333336</v>
      </c>
      <c r="K237" s="8">
        <f>I237/300</f>
        <v>0.57333333333333336</v>
      </c>
      <c r="L237" s="5">
        <f>_xlfn.RANK.EQ(J237,$J$2:$J$1001,0)</f>
        <v>764</v>
      </c>
    </row>
    <row r="238" spans="1:12" x14ac:dyDescent="0.3">
      <c r="A238" s="5" t="s">
        <v>17</v>
      </c>
      <c r="B238" s="5" t="s">
        <v>13</v>
      </c>
      <c r="C238" s="5" t="s">
        <v>22</v>
      </c>
      <c r="D238" s="5" t="s">
        <v>20</v>
      </c>
      <c r="E238" s="5" t="s">
        <v>12</v>
      </c>
      <c r="F238" s="5">
        <v>62</v>
      </c>
      <c r="G238" s="5">
        <v>55</v>
      </c>
      <c r="H238" s="6">
        <v>55</v>
      </c>
      <c r="I238" s="5">
        <f>SUM(F238:H238)</f>
        <v>172</v>
      </c>
      <c r="J238" s="7">
        <f>AVERAGE(F238:H238)</f>
        <v>57.333333333333336</v>
      </c>
      <c r="K238" s="8">
        <f>I238/300</f>
        <v>0.57333333333333336</v>
      </c>
      <c r="L238" s="5">
        <f>_xlfn.RANK.EQ(J238,$J$2:$J$1001,0)</f>
        <v>764</v>
      </c>
    </row>
    <row r="239" spans="1:12" x14ac:dyDescent="0.3">
      <c r="A239" s="5" t="s">
        <v>8</v>
      </c>
      <c r="B239" s="5" t="s">
        <v>13</v>
      </c>
      <c r="C239" s="5" t="s">
        <v>19</v>
      </c>
      <c r="D239" s="5" t="s">
        <v>20</v>
      </c>
      <c r="E239" s="5" t="s">
        <v>12</v>
      </c>
      <c r="F239" s="5">
        <v>54</v>
      </c>
      <c r="G239" s="5">
        <v>58</v>
      </c>
      <c r="H239" s="6">
        <v>61</v>
      </c>
      <c r="I239" s="5">
        <f>SUM(F239:H239)</f>
        <v>173</v>
      </c>
      <c r="J239" s="7">
        <f>AVERAGE(F239:H239)</f>
        <v>57.666666666666664</v>
      </c>
      <c r="K239" s="8">
        <f>I239/300</f>
        <v>0.57666666666666666</v>
      </c>
      <c r="L239" s="5">
        <f>_xlfn.RANK.EQ(J239,$J$2:$J$1001,0)</f>
        <v>756</v>
      </c>
    </row>
    <row r="240" spans="1:12" x14ac:dyDescent="0.3">
      <c r="A240" s="5" t="s">
        <v>8</v>
      </c>
      <c r="B240" s="5" t="s">
        <v>21</v>
      </c>
      <c r="C240" s="5" t="s">
        <v>23</v>
      </c>
      <c r="D240" s="5" t="s">
        <v>20</v>
      </c>
      <c r="E240" s="5" t="s">
        <v>12</v>
      </c>
      <c r="F240" s="5">
        <v>50</v>
      </c>
      <c r="G240" s="5">
        <v>64</v>
      </c>
      <c r="H240" s="6">
        <v>59</v>
      </c>
      <c r="I240" s="5">
        <f>SUM(F240:H240)</f>
        <v>173</v>
      </c>
      <c r="J240" s="7">
        <f>AVERAGE(F240:H240)</f>
        <v>57.666666666666664</v>
      </c>
      <c r="K240" s="8">
        <f>I240/300</f>
        <v>0.57666666666666666</v>
      </c>
      <c r="L240" s="5">
        <f>_xlfn.RANK.EQ(J240,$J$2:$J$1001,0)</f>
        <v>756</v>
      </c>
    </row>
    <row r="241" spans="1:12" x14ac:dyDescent="0.3">
      <c r="A241" s="5" t="s">
        <v>17</v>
      </c>
      <c r="B241" s="5" t="s">
        <v>9</v>
      </c>
      <c r="C241" s="5" t="s">
        <v>23</v>
      </c>
      <c r="D241" s="5" t="s">
        <v>11</v>
      </c>
      <c r="E241" s="5" t="s">
        <v>15</v>
      </c>
      <c r="F241" s="5">
        <v>61</v>
      </c>
      <c r="G241" s="5">
        <v>56</v>
      </c>
      <c r="H241" s="6">
        <v>56</v>
      </c>
      <c r="I241" s="5">
        <f>SUM(F241:H241)</f>
        <v>173</v>
      </c>
      <c r="J241" s="7">
        <f>AVERAGE(F241:H241)</f>
        <v>57.666666666666664</v>
      </c>
      <c r="K241" s="8">
        <f>I241/300</f>
        <v>0.57666666666666666</v>
      </c>
      <c r="L241" s="5">
        <f>_xlfn.RANK.EQ(J241,$J$2:$J$1001,0)</f>
        <v>756</v>
      </c>
    </row>
    <row r="242" spans="1:12" x14ac:dyDescent="0.3">
      <c r="A242" s="5" t="s">
        <v>17</v>
      </c>
      <c r="B242" s="5" t="s">
        <v>21</v>
      </c>
      <c r="C242" s="5" t="s">
        <v>23</v>
      </c>
      <c r="D242" s="5" t="s">
        <v>11</v>
      </c>
      <c r="E242" s="5" t="s">
        <v>12</v>
      </c>
      <c r="F242" s="5">
        <v>60</v>
      </c>
      <c r="G242" s="5">
        <v>59</v>
      </c>
      <c r="H242" s="6">
        <v>54</v>
      </c>
      <c r="I242" s="5">
        <f>SUM(F242:H242)</f>
        <v>173</v>
      </c>
      <c r="J242" s="7">
        <f>AVERAGE(F242:H242)</f>
        <v>57.666666666666664</v>
      </c>
      <c r="K242" s="8">
        <f>I242/300</f>
        <v>0.57666666666666666</v>
      </c>
      <c r="L242" s="5">
        <f>_xlfn.RANK.EQ(J242,$J$2:$J$1001,0)</f>
        <v>756</v>
      </c>
    </row>
    <row r="243" spans="1:12" x14ac:dyDescent="0.3">
      <c r="A243" s="5" t="s">
        <v>17</v>
      </c>
      <c r="B243" s="5" t="s">
        <v>21</v>
      </c>
      <c r="C243" s="5" t="s">
        <v>23</v>
      </c>
      <c r="D243" s="5" t="s">
        <v>20</v>
      </c>
      <c r="E243" s="5" t="s">
        <v>15</v>
      </c>
      <c r="F243" s="5">
        <v>55</v>
      </c>
      <c r="G243" s="5">
        <v>59</v>
      </c>
      <c r="H243" s="6">
        <v>59</v>
      </c>
      <c r="I243" s="5">
        <f>SUM(F243:H243)</f>
        <v>173</v>
      </c>
      <c r="J243" s="7">
        <f>AVERAGE(F243:H243)</f>
        <v>57.666666666666664</v>
      </c>
      <c r="K243" s="8">
        <f>I243/300</f>
        <v>0.57666666666666666</v>
      </c>
      <c r="L243" s="5">
        <f>_xlfn.RANK.EQ(J243,$J$2:$J$1001,0)</f>
        <v>756</v>
      </c>
    </row>
    <row r="244" spans="1:12" x14ac:dyDescent="0.3">
      <c r="A244" s="5" t="s">
        <v>8</v>
      </c>
      <c r="B244" s="5" t="s">
        <v>13</v>
      </c>
      <c r="C244" s="5" t="s">
        <v>19</v>
      </c>
      <c r="D244" s="5" t="s">
        <v>11</v>
      </c>
      <c r="E244" s="5" t="s">
        <v>15</v>
      </c>
      <c r="F244" s="5">
        <v>52</v>
      </c>
      <c r="G244" s="5">
        <v>59</v>
      </c>
      <c r="H244" s="6">
        <v>62</v>
      </c>
      <c r="I244" s="5">
        <f>SUM(F244:H244)</f>
        <v>173</v>
      </c>
      <c r="J244" s="7">
        <f>AVERAGE(F244:H244)</f>
        <v>57.666666666666664</v>
      </c>
      <c r="K244" s="8">
        <f>I244/300</f>
        <v>0.57666666666666666</v>
      </c>
      <c r="L244" s="5">
        <f>_xlfn.RANK.EQ(J244,$J$2:$J$1001,0)</f>
        <v>756</v>
      </c>
    </row>
    <row r="245" spans="1:12" x14ac:dyDescent="0.3">
      <c r="A245" s="5" t="s">
        <v>17</v>
      </c>
      <c r="B245" s="5" t="s">
        <v>13</v>
      </c>
      <c r="C245" s="5" t="s">
        <v>23</v>
      </c>
      <c r="D245" s="5" t="s">
        <v>11</v>
      </c>
      <c r="E245" s="5" t="s">
        <v>12</v>
      </c>
      <c r="F245" s="5">
        <v>64</v>
      </c>
      <c r="G245" s="5">
        <v>58</v>
      </c>
      <c r="H245" s="6">
        <v>51</v>
      </c>
      <c r="I245" s="5">
        <f>SUM(F245:H245)</f>
        <v>173</v>
      </c>
      <c r="J245" s="7">
        <f>AVERAGE(F245:H245)</f>
        <v>57.666666666666664</v>
      </c>
      <c r="K245" s="8">
        <f>I245/300</f>
        <v>0.57666666666666666</v>
      </c>
      <c r="L245" s="5">
        <f>_xlfn.RANK.EQ(J245,$J$2:$J$1001,0)</f>
        <v>756</v>
      </c>
    </row>
    <row r="246" spans="1:12" x14ac:dyDescent="0.3">
      <c r="A246" s="5" t="s">
        <v>8</v>
      </c>
      <c r="B246" s="5" t="s">
        <v>13</v>
      </c>
      <c r="C246" s="5" t="s">
        <v>19</v>
      </c>
      <c r="D246" s="5" t="s">
        <v>11</v>
      </c>
      <c r="E246" s="5" t="s">
        <v>12</v>
      </c>
      <c r="F246" s="5">
        <v>54</v>
      </c>
      <c r="G246" s="5">
        <v>61</v>
      </c>
      <c r="H246" s="6">
        <v>58</v>
      </c>
      <c r="I246" s="5">
        <f>SUM(F246:H246)</f>
        <v>173</v>
      </c>
      <c r="J246" s="7">
        <f>AVERAGE(F246:H246)</f>
        <v>57.666666666666664</v>
      </c>
      <c r="K246" s="8">
        <f>I246/300</f>
        <v>0.57666666666666666</v>
      </c>
      <c r="L246" s="5">
        <f>_xlfn.RANK.EQ(J246,$J$2:$J$1001,0)</f>
        <v>756</v>
      </c>
    </row>
    <row r="247" spans="1:12" x14ac:dyDescent="0.3">
      <c r="A247" s="5" t="s">
        <v>17</v>
      </c>
      <c r="B247" s="5" t="s">
        <v>13</v>
      </c>
      <c r="C247" s="5" t="s">
        <v>23</v>
      </c>
      <c r="D247" s="5" t="s">
        <v>20</v>
      </c>
      <c r="E247" s="5" t="s">
        <v>12</v>
      </c>
      <c r="F247" s="5">
        <v>61</v>
      </c>
      <c r="G247" s="5">
        <v>57</v>
      </c>
      <c r="H247" s="6">
        <v>56</v>
      </c>
      <c r="I247" s="5">
        <f>SUM(F247:H247)</f>
        <v>174</v>
      </c>
      <c r="J247" s="7">
        <f>AVERAGE(F247:H247)</f>
        <v>58</v>
      </c>
      <c r="K247" s="8">
        <f>I247/300</f>
        <v>0.57999999999999996</v>
      </c>
      <c r="L247" s="5">
        <f>_xlfn.RANK.EQ(J247,$J$2:$J$1001,0)</f>
        <v>754</v>
      </c>
    </row>
    <row r="248" spans="1:12" x14ac:dyDescent="0.3">
      <c r="A248" s="5" t="s">
        <v>17</v>
      </c>
      <c r="B248" s="5" t="s">
        <v>9</v>
      </c>
      <c r="C248" s="5" t="s">
        <v>23</v>
      </c>
      <c r="D248" s="5" t="s">
        <v>11</v>
      </c>
      <c r="E248" s="5" t="s">
        <v>15</v>
      </c>
      <c r="F248" s="5">
        <v>64</v>
      </c>
      <c r="G248" s="5">
        <v>53</v>
      </c>
      <c r="H248" s="6">
        <v>57</v>
      </c>
      <c r="I248" s="5">
        <f>SUM(F248:H248)</f>
        <v>174</v>
      </c>
      <c r="J248" s="7">
        <f>AVERAGE(F248:H248)</f>
        <v>58</v>
      </c>
      <c r="K248" s="8">
        <f>I248/300</f>
        <v>0.57999999999999996</v>
      </c>
      <c r="L248" s="5">
        <f>_xlfn.RANK.EQ(J248,$J$2:$J$1001,0)</f>
        <v>754</v>
      </c>
    </row>
    <row r="249" spans="1:12" x14ac:dyDescent="0.3">
      <c r="A249" s="5" t="s">
        <v>17</v>
      </c>
      <c r="B249" s="5" t="s">
        <v>21</v>
      </c>
      <c r="C249" s="5" t="s">
        <v>14</v>
      </c>
      <c r="D249" s="5" t="s">
        <v>11</v>
      </c>
      <c r="E249" s="5" t="s">
        <v>15</v>
      </c>
      <c r="F249" s="5">
        <v>58</v>
      </c>
      <c r="G249" s="5">
        <v>59</v>
      </c>
      <c r="H249" s="6">
        <v>58</v>
      </c>
      <c r="I249" s="5">
        <f>SUM(F249:H249)</f>
        <v>175</v>
      </c>
      <c r="J249" s="7">
        <f>AVERAGE(F249:H249)</f>
        <v>58.333333333333336</v>
      </c>
      <c r="K249" s="8">
        <f>I249/300</f>
        <v>0.58333333333333337</v>
      </c>
      <c r="L249" s="5">
        <f>_xlfn.RANK.EQ(J249,$J$2:$J$1001,0)</f>
        <v>745</v>
      </c>
    </row>
    <row r="250" spans="1:12" x14ac:dyDescent="0.3">
      <c r="A250" s="5" t="s">
        <v>17</v>
      </c>
      <c r="B250" s="5" t="s">
        <v>9</v>
      </c>
      <c r="C250" s="5" t="s">
        <v>19</v>
      </c>
      <c r="D250" s="5" t="s">
        <v>20</v>
      </c>
      <c r="E250" s="5" t="s">
        <v>12</v>
      </c>
      <c r="F250" s="5">
        <v>61</v>
      </c>
      <c r="G250" s="5">
        <v>58</v>
      </c>
      <c r="H250" s="6">
        <v>56</v>
      </c>
      <c r="I250" s="5">
        <f>SUM(F250:H250)</f>
        <v>175</v>
      </c>
      <c r="J250" s="7">
        <f>AVERAGE(F250:H250)</f>
        <v>58.333333333333336</v>
      </c>
      <c r="K250" s="8">
        <f>I250/300</f>
        <v>0.58333333333333337</v>
      </c>
      <c r="L250" s="5">
        <f>_xlfn.RANK.EQ(J250,$J$2:$J$1001,0)</f>
        <v>745</v>
      </c>
    </row>
    <row r="251" spans="1:12" x14ac:dyDescent="0.3">
      <c r="A251" s="5" t="s">
        <v>8</v>
      </c>
      <c r="B251" s="5" t="s">
        <v>21</v>
      </c>
      <c r="C251" s="5" t="s">
        <v>23</v>
      </c>
      <c r="D251" s="5" t="s">
        <v>11</v>
      </c>
      <c r="E251" s="5" t="s">
        <v>12</v>
      </c>
      <c r="F251" s="5">
        <v>51</v>
      </c>
      <c r="G251" s="5">
        <v>63</v>
      </c>
      <c r="H251" s="6">
        <v>61</v>
      </c>
      <c r="I251" s="5">
        <f>SUM(F251:H251)</f>
        <v>175</v>
      </c>
      <c r="J251" s="7">
        <f>AVERAGE(F251:H251)</f>
        <v>58.333333333333336</v>
      </c>
      <c r="K251" s="8">
        <f>I251/300</f>
        <v>0.58333333333333337</v>
      </c>
      <c r="L251" s="5">
        <f>_xlfn.RANK.EQ(J251,$J$2:$J$1001,0)</f>
        <v>745</v>
      </c>
    </row>
    <row r="252" spans="1:12" x14ac:dyDescent="0.3">
      <c r="A252" s="5" t="s">
        <v>17</v>
      </c>
      <c r="B252" s="5" t="s">
        <v>24</v>
      </c>
      <c r="C252" s="5" t="s">
        <v>14</v>
      </c>
      <c r="D252" s="5" t="s">
        <v>11</v>
      </c>
      <c r="E252" s="5" t="s">
        <v>12</v>
      </c>
      <c r="F252" s="5">
        <v>66</v>
      </c>
      <c r="G252" s="5">
        <v>57</v>
      </c>
      <c r="H252" s="6">
        <v>52</v>
      </c>
      <c r="I252" s="5">
        <f>SUM(F252:H252)</f>
        <v>175</v>
      </c>
      <c r="J252" s="7">
        <f>AVERAGE(F252:H252)</f>
        <v>58.333333333333336</v>
      </c>
      <c r="K252" s="8">
        <f>I252/300</f>
        <v>0.58333333333333337</v>
      </c>
      <c r="L252" s="5">
        <f>_xlfn.RANK.EQ(J252,$J$2:$J$1001,0)</f>
        <v>745</v>
      </c>
    </row>
    <row r="253" spans="1:12" x14ac:dyDescent="0.3">
      <c r="A253" s="5" t="s">
        <v>8</v>
      </c>
      <c r="B253" s="5" t="s">
        <v>13</v>
      </c>
      <c r="C253" s="5" t="s">
        <v>22</v>
      </c>
      <c r="D253" s="5" t="s">
        <v>11</v>
      </c>
      <c r="E253" s="5" t="s">
        <v>12</v>
      </c>
      <c r="F253" s="5">
        <v>54</v>
      </c>
      <c r="G253" s="5">
        <v>59</v>
      </c>
      <c r="H253" s="6">
        <v>62</v>
      </c>
      <c r="I253" s="5">
        <f>SUM(F253:H253)</f>
        <v>175</v>
      </c>
      <c r="J253" s="7">
        <f>AVERAGE(F253:H253)</f>
        <v>58.333333333333336</v>
      </c>
      <c r="K253" s="8">
        <f>I253/300</f>
        <v>0.58333333333333337</v>
      </c>
      <c r="L253" s="5">
        <f>_xlfn.RANK.EQ(J253,$J$2:$J$1001,0)</f>
        <v>745</v>
      </c>
    </row>
    <row r="254" spans="1:12" x14ac:dyDescent="0.3">
      <c r="A254" s="5" t="s">
        <v>17</v>
      </c>
      <c r="B254" s="5" t="s">
        <v>18</v>
      </c>
      <c r="C254" s="5" t="s">
        <v>14</v>
      </c>
      <c r="D254" s="5" t="s">
        <v>20</v>
      </c>
      <c r="E254" s="5" t="s">
        <v>12</v>
      </c>
      <c r="F254" s="5">
        <v>58</v>
      </c>
      <c r="G254" s="5">
        <v>60</v>
      </c>
      <c r="H254" s="6">
        <v>57</v>
      </c>
      <c r="I254" s="5">
        <f>SUM(F254:H254)</f>
        <v>175</v>
      </c>
      <c r="J254" s="7">
        <f>AVERAGE(F254:H254)</f>
        <v>58.333333333333336</v>
      </c>
      <c r="K254" s="8">
        <f>I254/300</f>
        <v>0.58333333333333337</v>
      </c>
      <c r="L254" s="5">
        <f>_xlfn.RANK.EQ(J254,$J$2:$J$1001,0)</f>
        <v>745</v>
      </c>
    </row>
    <row r="255" spans="1:12" x14ac:dyDescent="0.3">
      <c r="A255" s="5" t="s">
        <v>17</v>
      </c>
      <c r="B255" s="5" t="s">
        <v>9</v>
      </c>
      <c r="C255" s="5" t="s">
        <v>23</v>
      </c>
      <c r="D255" s="5" t="s">
        <v>11</v>
      </c>
      <c r="E255" s="5" t="s">
        <v>12</v>
      </c>
      <c r="F255" s="5">
        <v>68</v>
      </c>
      <c r="G255" s="5">
        <v>54</v>
      </c>
      <c r="H255" s="6">
        <v>53</v>
      </c>
      <c r="I255" s="5">
        <f>SUM(F255:H255)</f>
        <v>175</v>
      </c>
      <c r="J255" s="7">
        <f>AVERAGE(F255:H255)</f>
        <v>58.333333333333336</v>
      </c>
      <c r="K255" s="8">
        <f>I255/300</f>
        <v>0.58333333333333337</v>
      </c>
      <c r="L255" s="5">
        <f>_xlfn.RANK.EQ(J255,$J$2:$J$1001,0)</f>
        <v>745</v>
      </c>
    </row>
    <row r="256" spans="1:12" x14ac:dyDescent="0.3">
      <c r="A256" s="5" t="s">
        <v>8</v>
      </c>
      <c r="B256" s="5" t="s">
        <v>13</v>
      </c>
      <c r="C256" s="5" t="s">
        <v>10</v>
      </c>
      <c r="D256" s="5" t="s">
        <v>20</v>
      </c>
      <c r="E256" s="5" t="s">
        <v>15</v>
      </c>
      <c r="F256" s="5">
        <v>47</v>
      </c>
      <c r="G256" s="5">
        <v>62</v>
      </c>
      <c r="H256" s="6">
        <v>66</v>
      </c>
      <c r="I256" s="5">
        <f>SUM(F256:H256)</f>
        <v>175</v>
      </c>
      <c r="J256" s="7">
        <f>AVERAGE(F256:H256)</f>
        <v>58.333333333333336</v>
      </c>
      <c r="K256" s="8">
        <f>I256/300</f>
        <v>0.58333333333333337</v>
      </c>
      <c r="L256" s="5">
        <f>_xlfn.RANK.EQ(J256,$J$2:$J$1001,0)</f>
        <v>745</v>
      </c>
    </row>
    <row r="257" spans="1:12" x14ac:dyDescent="0.3">
      <c r="A257" s="5" t="s">
        <v>8</v>
      </c>
      <c r="B257" s="5" t="s">
        <v>21</v>
      </c>
      <c r="C257" s="5" t="s">
        <v>14</v>
      </c>
      <c r="D257" s="5" t="s">
        <v>20</v>
      </c>
      <c r="E257" s="5" t="s">
        <v>12</v>
      </c>
      <c r="F257" s="5">
        <v>49</v>
      </c>
      <c r="G257" s="5">
        <v>65</v>
      </c>
      <c r="H257" s="6">
        <v>61</v>
      </c>
      <c r="I257" s="5">
        <f>SUM(F257:H257)</f>
        <v>175</v>
      </c>
      <c r="J257" s="7">
        <f>AVERAGE(F257:H257)</f>
        <v>58.333333333333336</v>
      </c>
      <c r="K257" s="8">
        <f>I257/300</f>
        <v>0.58333333333333337</v>
      </c>
      <c r="L257" s="5">
        <f>_xlfn.RANK.EQ(J257,$J$2:$J$1001,0)</f>
        <v>745</v>
      </c>
    </row>
    <row r="258" spans="1:12" x14ac:dyDescent="0.3">
      <c r="A258" s="5" t="s">
        <v>8</v>
      </c>
      <c r="B258" s="5" t="s">
        <v>9</v>
      </c>
      <c r="C258" s="5" t="s">
        <v>19</v>
      </c>
      <c r="D258" s="5" t="s">
        <v>11</v>
      </c>
      <c r="E258" s="5" t="s">
        <v>12</v>
      </c>
      <c r="F258" s="5">
        <v>53</v>
      </c>
      <c r="G258" s="5">
        <v>58</v>
      </c>
      <c r="H258" s="6">
        <v>65</v>
      </c>
      <c r="I258" s="5">
        <f>SUM(F258:H258)</f>
        <v>176</v>
      </c>
      <c r="J258" s="7">
        <f>AVERAGE(F258:H258)</f>
        <v>58.666666666666664</v>
      </c>
      <c r="K258" s="8">
        <f>I258/300</f>
        <v>0.58666666666666667</v>
      </c>
      <c r="L258" s="5">
        <f>_xlfn.RANK.EQ(J258,$J$2:$J$1001,0)</f>
        <v>736</v>
      </c>
    </row>
    <row r="259" spans="1:12" x14ac:dyDescent="0.3">
      <c r="A259" s="5" t="s">
        <v>17</v>
      </c>
      <c r="B259" s="5" t="s">
        <v>9</v>
      </c>
      <c r="C259" s="5" t="s">
        <v>19</v>
      </c>
      <c r="D259" s="5" t="s">
        <v>11</v>
      </c>
      <c r="E259" s="5" t="s">
        <v>12</v>
      </c>
      <c r="F259" s="5">
        <v>65</v>
      </c>
      <c r="G259" s="5">
        <v>54</v>
      </c>
      <c r="H259" s="6">
        <v>57</v>
      </c>
      <c r="I259" s="5">
        <f>SUM(F259:H259)</f>
        <v>176</v>
      </c>
      <c r="J259" s="7">
        <f>AVERAGE(F259:H259)</f>
        <v>58.666666666666664</v>
      </c>
      <c r="K259" s="8">
        <f>I259/300</f>
        <v>0.58666666666666667</v>
      </c>
      <c r="L259" s="5">
        <f>_xlfn.RANK.EQ(J259,$J$2:$J$1001,0)</f>
        <v>736</v>
      </c>
    </row>
    <row r="260" spans="1:12" x14ac:dyDescent="0.3">
      <c r="A260" s="5" t="s">
        <v>8</v>
      </c>
      <c r="B260" s="5" t="s">
        <v>21</v>
      </c>
      <c r="C260" s="5" t="s">
        <v>23</v>
      </c>
      <c r="D260" s="5" t="s">
        <v>11</v>
      </c>
      <c r="E260" s="5" t="s">
        <v>12</v>
      </c>
      <c r="F260" s="5">
        <v>59</v>
      </c>
      <c r="G260" s="5">
        <v>58</v>
      </c>
      <c r="H260" s="6">
        <v>59</v>
      </c>
      <c r="I260" s="5">
        <f>SUM(F260:H260)</f>
        <v>176</v>
      </c>
      <c r="J260" s="7">
        <f>AVERAGE(F260:H260)</f>
        <v>58.666666666666664</v>
      </c>
      <c r="K260" s="8">
        <f>I260/300</f>
        <v>0.58666666666666667</v>
      </c>
      <c r="L260" s="5">
        <f>_xlfn.RANK.EQ(J260,$J$2:$J$1001,0)</f>
        <v>736</v>
      </c>
    </row>
    <row r="261" spans="1:12" x14ac:dyDescent="0.3">
      <c r="A261" s="5" t="s">
        <v>17</v>
      </c>
      <c r="B261" s="5" t="s">
        <v>21</v>
      </c>
      <c r="C261" s="5" t="s">
        <v>22</v>
      </c>
      <c r="D261" s="5" t="s">
        <v>20</v>
      </c>
      <c r="E261" s="5" t="s">
        <v>12</v>
      </c>
      <c r="F261" s="5">
        <v>63</v>
      </c>
      <c r="G261" s="5">
        <v>57</v>
      </c>
      <c r="H261" s="6">
        <v>56</v>
      </c>
      <c r="I261" s="5">
        <f>SUM(F261:H261)</f>
        <v>176</v>
      </c>
      <c r="J261" s="7">
        <f>AVERAGE(F261:H261)</f>
        <v>58.666666666666664</v>
      </c>
      <c r="K261" s="8">
        <f>I261/300</f>
        <v>0.58666666666666667</v>
      </c>
      <c r="L261" s="5">
        <f>_xlfn.RANK.EQ(J261,$J$2:$J$1001,0)</f>
        <v>736</v>
      </c>
    </row>
    <row r="262" spans="1:12" x14ac:dyDescent="0.3">
      <c r="A262" s="5" t="s">
        <v>8</v>
      </c>
      <c r="B262" s="5" t="s">
        <v>13</v>
      </c>
      <c r="C262" s="5" t="s">
        <v>14</v>
      </c>
      <c r="D262" s="5" t="s">
        <v>20</v>
      </c>
      <c r="E262" s="5" t="s">
        <v>12</v>
      </c>
      <c r="F262" s="5">
        <v>46</v>
      </c>
      <c r="G262" s="5">
        <v>64</v>
      </c>
      <c r="H262" s="6">
        <v>66</v>
      </c>
      <c r="I262" s="5">
        <f>SUM(F262:H262)</f>
        <v>176</v>
      </c>
      <c r="J262" s="7">
        <f>AVERAGE(F262:H262)</f>
        <v>58.666666666666664</v>
      </c>
      <c r="K262" s="8">
        <f>I262/300</f>
        <v>0.58666666666666667</v>
      </c>
      <c r="L262" s="5">
        <f>_xlfn.RANK.EQ(J262,$J$2:$J$1001,0)</f>
        <v>736</v>
      </c>
    </row>
    <row r="263" spans="1:12" x14ac:dyDescent="0.3">
      <c r="A263" s="5" t="s">
        <v>8</v>
      </c>
      <c r="B263" s="5" t="s">
        <v>13</v>
      </c>
      <c r="C263" s="5" t="s">
        <v>19</v>
      </c>
      <c r="D263" s="5" t="s">
        <v>20</v>
      </c>
      <c r="E263" s="5" t="s">
        <v>12</v>
      </c>
      <c r="F263" s="5">
        <v>53</v>
      </c>
      <c r="G263" s="5">
        <v>61</v>
      </c>
      <c r="H263" s="6">
        <v>62</v>
      </c>
      <c r="I263" s="5">
        <f>SUM(F263:H263)</f>
        <v>176</v>
      </c>
      <c r="J263" s="7">
        <f>AVERAGE(F263:H263)</f>
        <v>58.666666666666664</v>
      </c>
      <c r="K263" s="8">
        <f>I263/300</f>
        <v>0.58666666666666667</v>
      </c>
      <c r="L263" s="5">
        <f>_xlfn.RANK.EQ(J263,$J$2:$J$1001,0)</f>
        <v>736</v>
      </c>
    </row>
    <row r="264" spans="1:12" x14ac:dyDescent="0.3">
      <c r="A264" s="5" t="s">
        <v>17</v>
      </c>
      <c r="B264" s="5" t="s">
        <v>24</v>
      </c>
      <c r="C264" s="5" t="s">
        <v>23</v>
      </c>
      <c r="D264" s="5" t="s">
        <v>11</v>
      </c>
      <c r="E264" s="5" t="s">
        <v>15</v>
      </c>
      <c r="F264" s="5">
        <v>68</v>
      </c>
      <c r="G264" s="5">
        <v>51</v>
      </c>
      <c r="H264" s="6">
        <v>57</v>
      </c>
      <c r="I264" s="5">
        <f>SUM(F264:H264)</f>
        <v>176</v>
      </c>
      <c r="J264" s="7">
        <f>AVERAGE(F264:H264)</f>
        <v>58.666666666666664</v>
      </c>
      <c r="K264" s="8">
        <f>I264/300</f>
        <v>0.58666666666666667</v>
      </c>
      <c r="L264" s="5">
        <f>_xlfn.RANK.EQ(J264,$J$2:$J$1001,0)</f>
        <v>736</v>
      </c>
    </row>
    <row r="265" spans="1:12" x14ac:dyDescent="0.3">
      <c r="A265" s="5" t="s">
        <v>17</v>
      </c>
      <c r="B265" s="5" t="s">
        <v>13</v>
      </c>
      <c r="C265" s="5" t="s">
        <v>22</v>
      </c>
      <c r="D265" s="5" t="s">
        <v>20</v>
      </c>
      <c r="E265" s="5" t="s">
        <v>12</v>
      </c>
      <c r="F265" s="5">
        <v>61</v>
      </c>
      <c r="G265" s="5">
        <v>60</v>
      </c>
      <c r="H265" s="6">
        <v>55</v>
      </c>
      <c r="I265" s="5">
        <f>SUM(F265:H265)</f>
        <v>176</v>
      </c>
      <c r="J265" s="7">
        <f>AVERAGE(F265:H265)</f>
        <v>58.666666666666664</v>
      </c>
      <c r="K265" s="8">
        <f>I265/300</f>
        <v>0.58666666666666667</v>
      </c>
      <c r="L265" s="5">
        <f>_xlfn.RANK.EQ(J265,$J$2:$J$1001,0)</f>
        <v>736</v>
      </c>
    </row>
    <row r="266" spans="1:12" x14ac:dyDescent="0.3">
      <c r="A266" s="5" t="s">
        <v>8</v>
      </c>
      <c r="B266" s="5" t="s">
        <v>21</v>
      </c>
      <c r="C266" s="5" t="s">
        <v>14</v>
      </c>
      <c r="D266" s="5" t="s">
        <v>20</v>
      </c>
      <c r="E266" s="5" t="s">
        <v>15</v>
      </c>
      <c r="F266" s="5">
        <v>52</v>
      </c>
      <c r="G266" s="5">
        <v>59</v>
      </c>
      <c r="H266" s="6">
        <v>65</v>
      </c>
      <c r="I266" s="5">
        <f>SUM(F266:H266)</f>
        <v>176</v>
      </c>
      <c r="J266" s="7">
        <f>AVERAGE(F266:H266)</f>
        <v>58.666666666666664</v>
      </c>
      <c r="K266" s="8">
        <f>I266/300</f>
        <v>0.58666666666666667</v>
      </c>
      <c r="L266" s="5">
        <f>_xlfn.RANK.EQ(J266,$J$2:$J$1001,0)</f>
        <v>736</v>
      </c>
    </row>
    <row r="267" spans="1:12" x14ac:dyDescent="0.3">
      <c r="A267" s="5" t="s">
        <v>8</v>
      </c>
      <c r="B267" s="5" t="s">
        <v>13</v>
      </c>
      <c r="C267" s="5" t="s">
        <v>14</v>
      </c>
      <c r="D267" s="5" t="s">
        <v>20</v>
      </c>
      <c r="E267" s="5" t="s">
        <v>15</v>
      </c>
      <c r="F267" s="5">
        <v>42</v>
      </c>
      <c r="G267" s="5">
        <v>66</v>
      </c>
      <c r="H267" s="6">
        <v>69</v>
      </c>
      <c r="I267" s="5">
        <f>SUM(F267:H267)</f>
        <v>177</v>
      </c>
      <c r="J267" s="7">
        <f>AVERAGE(F267:H267)</f>
        <v>59</v>
      </c>
      <c r="K267" s="8">
        <f>I267/300</f>
        <v>0.59</v>
      </c>
      <c r="L267" s="5">
        <f>_xlfn.RANK.EQ(J267,$J$2:$J$1001,0)</f>
        <v>727</v>
      </c>
    </row>
    <row r="268" spans="1:12" x14ac:dyDescent="0.3">
      <c r="A268" s="5" t="s">
        <v>17</v>
      </c>
      <c r="B268" s="5" t="s">
        <v>13</v>
      </c>
      <c r="C268" s="5" t="s">
        <v>14</v>
      </c>
      <c r="D268" s="5" t="s">
        <v>11</v>
      </c>
      <c r="E268" s="5" t="s">
        <v>12</v>
      </c>
      <c r="F268" s="5">
        <v>59</v>
      </c>
      <c r="G268" s="5">
        <v>60</v>
      </c>
      <c r="H268" s="6">
        <v>58</v>
      </c>
      <c r="I268" s="5">
        <f>SUM(F268:H268)</f>
        <v>177</v>
      </c>
      <c r="J268" s="7">
        <f>AVERAGE(F268:H268)</f>
        <v>59</v>
      </c>
      <c r="K268" s="8">
        <f>I268/300</f>
        <v>0.59</v>
      </c>
      <c r="L268" s="5">
        <f>_xlfn.RANK.EQ(J268,$J$2:$J$1001,0)</f>
        <v>727</v>
      </c>
    </row>
    <row r="269" spans="1:12" x14ac:dyDescent="0.3">
      <c r="A269" s="5" t="s">
        <v>17</v>
      </c>
      <c r="B269" s="5" t="s">
        <v>18</v>
      </c>
      <c r="C269" s="5" t="s">
        <v>23</v>
      </c>
      <c r="D269" s="5" t="s">
        <v>20</v>
      </c>
      <c r="E269" s="5" t="s">
        <v>12</v>
      </c>
      <c r="F269" s="5">
        <v>65</v>
      </c>
      <c r="G269" s="5">
        <v>59</v>
      </c>
      <c r="H269" s="6">
        <v>53</v>
      </c>
      <c r="I269" s="5">
        <f>SUM(F269:H269)</f>
        <v>177</v>
      </c>
      <c r="J269" s="7">
        <f>AVERAGE(F269:H269)</f>
        <v>59</v>
      </c>
      <c r="K269" s="8">
        <f>I269/300</f>
        <v>0.59</v>
      </c>
      <c r="L269" s="5">
        <f>_xlfn.RANK.EQ(J269,$J$2:$J$1001,0)</f>
        <v>727</v>
      </c>
    </row>
    <row r="270" spans="1:12" x14ac:dyDescent="0.3">
      <c r="A270" s="5" t="s">
        <v>17</v>
      </c>
      <c r="B270" s="5" t="s">
        <v>13</v>
      </c>
      <c r="C270" s="5" t="s">
        <v>22</v>
      </c>
      <c r="D270" s="5" t="s">
        <v>11</v>
      </c>
      <c r="E270" s="5" t="s">
        <v>12</v>
      </c>
      <c r="F270" s="5">
        <v>70</v>
      </c>
      <c r="G270" s="5">
        <v>56</v>
      </c>
      <c r="H270" s="6">
        <v>51</v>
      </c>
      <c r="I270" s="5">
        <f>SUM(F270:H270)</f>
        <v>177</v>
      </c>
      <c r="J270" s="7">
        <f>AVERAGE(F270:H270)</f>
        <v>59</v>
      </c>
      <c r="K270" s="8">
        <f>I270/300</f>
        <v>0.59</v>
      </c>
      <c r="L270" s="5">
        <f>_xlfn.RANK.EQ(J270,$J$2:$J$1001,0)</f>
        <v>727</v>
      </c>
    </row>
    <row r="271" spans="1:12" x14ac:dyDescent="0.3">
      <c r="A271" s="5" t="s">
        <v>8</v>
      </c>
      <c r="B271" s="5" t="s">
        <v>9</v>
      </c>
      <c r="C271" s="5" t="s">
        <v>23</v>
      </c>
      <c r="D271" s="5" t="s">
        <v>11</v>
      </c>
      <c r="E271" s="5" t="s">
        <v>15</v>
      </c>
      <c r="F271" s="5">
        <v>54</v>
      </c>
      <c r="G271" s="5">
        <v>61</v>
      </c>
      <c r="H271" s="6">
        <v>62</v>
      </c>
      <c r="I271" s="5">
        <f>SUM(F271:H271)</f>
        <v>177</v>
      </c>
      <c r="J271" s="7">
        <f>AVERAGE(F271:H271)</f>
        <v>59</v>
      </c>
      <c r="K271" s="8">
        <f>I271/300</f>
        <v>0.59</v>
      </c>
      <c r="L271" s="5">
        <f>_xlfn.RANK.EQ(J271,$J$2:$J$1001,0)</f>
        <v>727</v>
      </c>
    </row>
    <row r="272" spans="1:12" x14ac:dyDescent="0.3">
      <c r="A272" s="5" t="s">
        <v>17</v>
      </c>
      <c r="B272" s="5" t="s">
        <v>13</v>
      </c>
      <c r="C272" s="5" t="s">
        <v>23</v>
      </c>
      <c r="D272" s="5" t="s">
        <v>20</v>
      </c>
      <c r="E272" s="5" t="s">
        <v>15</v>
      </c>
      <c r="F272" s="5">
        <v>56</v>
      </c>
      <c r="G272" s="5">
        <v>61</v>
      </c>
      <c r="H272" s="6">
        <v>60</v>
      </c>
      <c r="I272" s="5">
        <f>SUM(F272:H272)</f>
        <v>177</v>
      </c>
      <c r="J272" s="7">
        <f>AVERAGE(F272:H272)</f>
        <v>59</v>
      </c>
      <c r="K272" s="8">
        <f>I272/300</f>
        <v>0.59</v>
      </c>
      <c r="L272" s="5">
        <f>_xlfn.RANK.EQ(J272,$J$2:$J$1001,0)</f>
        <v>727</v>
      </c>
    </row>
    <row r="273" spans="1:12" x14ac:dyDescent="0.3">
      <c r="A273" s="5" t="s">
        <v>8</v>
      </c>
      <c r="B273" s="5" t="s">
        <v>21</v>
      </c>
      <c r="C273" s="5" t="s">
        <v>16</v>
      </c>
      <c r="D273" s="5" t="s">
        <v>11</v>
      </c>
      <c r="E273" s="5" t="s">
        <v>12</v>
      </c>
      <c r="F273" s="5">
        <v>54</v>
      </c>
      <c r="G273" s="5">
        <v>60</v>
      </c>
      <c r="H273" s="6">
        <v>63</v>
      </c>
      <c r="I273" s="5">
        <f>SUM(F273:H273)</f>
        <v>177</v>
      </c>
      <c r="J273" s="7">
        <f>AVERAGE(F273:H273)</f>
        <v>59</v>
      </c>
      <c r="K273" s="8">
        <f>I273/300</f>
        <v>0.59</v>
      </c>
      <c r="L273" s="5">
        <f>_xlfn.RANK.EQ(J273,$J$2:$J$1001,0)</f>
        <v>727</v>
      </c>
    </row>
    <row r="274" spans="1:12" x14ac:dyDescent="0.3">
      <c r="A274" s="5" t="s">
        <v>17</v>
      </c>
      <c r="B274" s="5" t="s">
        <v>13</v>
      </c>
      <c r="C274" s="5" t="s">
        <v>14</v>
      </c>
      <c r="D274" s="5" t="s">
        <v>11</v>
      </c>
      <c r="E274" s="5" t="s">
        <v>12</v>
      </c>
      <c r="F274" s="5">
        <v>66</v>
      </c>
      <c r="G274" s="5">
        <v>59</v>
      </c>
      <c r="H274" s="6">
        <v>52</v>
      </c>
      <c r="I274" s="5">
        <f>SUM(F274:H274)</f>
        <v>177</v>
      </c>
      <c r="J274" s="7">
        <f>AVERAGE(F274:H274)</f>
        <v>59</v>
      </c>
      <c r="K274" s="8">
        <f>I274/300</f>
        <v>0.59</v>
      </c>
      <c r="L274" s="5">
        <f>_xlfn.RANK.EQ(J274,$J$2:$J$1001,0)</f>
        <v>727</v>
      </c>
    </row>
    <row r="275" spans="1:12" x14ac:dyDescent="0.3">
      <c r="A275" s="5" t="s">
        <v>17</v>
      </c>
      <c r="B275" s="5" t="s">
        <v>18</v>
      </c>
      <c r="C275" s="5" t="s">
        <v>19</v>
      </c>
      <c r="D275" s="5" t="s">
        <v>11</v>
      </c>
      <c r="E275" s="5" t="s">
        <v>12</v>
      </c>
      <c r="F275" s="5">
        <v>67</v>
      </c>
      <c r="G275" s="5">
        <v>57</v>
      </c>
      <c r="H275" s="6">
        <v>53</v>
      </c>
      <c r="I275" s="5">
        <f>SUM(F275:H275)</f>
        <v>177</v>
      </c>
      <c r="J275" s="7">
        <f>AVERAGE(F275:H275)</f>
        <v>59</v>
      </c>
      <c r="K275" s="8">
        <f>I275/300</f>
        <v>0.59</v>
      </c>
      <c r="L275" s="5">
        <f>_xlfn.RANK.EQ(J275,$J$2:$J$1001,0)</f>
        <v>727</v>
      </c>
    </row>
    <row r="276" spans="1:12" x14ac:dyDescent="0.3">
      <c r="A276" s="5" t="s">
        <v>17</v>
      </c>
      <c r="B276" s="5" t="s">
        <v>9</v>
      </c>
      <c r="C276" s="5" t="s">
        <v>14</v>
      </c>
      <c r="D276" s="5" t="s">
        <v>11</v>
      </c>
      <c r="E276" s="5" t="s">
        <v>12</v>
      </c>
      <c r="F276" s="5">
        <v>69</v>
      </c>
      <c r="G276" s="5">
        <v>54</v>
      </c>
      <c r="H276" s="6">
        <v>55</v>
      </c>
      <c r="I276" s="5">
        <f>SUM(F276:H276)</f>
        <v>178</v>
      </c>
      <c r="J276" s="7">
        <f>AVERAGE(F276:H276)</f>
        <v>59.333333333333336</v>
      </c>
      <c r="K276" s="8">
        <f>I276/300</f>
        <v>0.59333333333333338</v>
      </c>
      <c r="L276" s="5">
        <f>_xlfn.RANK.EQ(J276,$J$2:$J$1001,0)</f>
        <v>721</v>
      </c>
    </row>
    <row r="277" spans="1:12" x14ac:dyDescent="0.3">
      <c r="A277" s="5" t="s">
        <v>17</v>
      </c>
      <c r="B277" s="5" t="s">
        <v>18</v>
      </c>
      <c r="C277" s="5" t="s">
        <v>19</v>
      </c>
      <c r="D277" s="5" t="s">
        <v>20</v>
      </c>
      <c r="E277" s="5" t="s">
        <v>12</v>
      </c>
      <c r="F277" s="5">
        <v>62</v>
      </c>
      <c r="G277" s="5">
        <v>61</v>
      </c>
      <c r="H277" s="6">
        <v>55</v>
      </c>
      <c r="I277" s="5">
        <f>SUM(F277:H277)</f>
        <v>178</v>
      </c>
      <c r="J277" s="7">
        <f>AVERAGE(F277:H277)</f>
        <v>59.333333333333336</v>
      </c>
      <c r="K277" s="8">
        <f>I277/300</f>
        <v>0.59333333333333338</v>
      </c>
      <c r="L277" s="5">
        <f>_xlfn.RANK.EQ(J277,$J$2:$J$1001,0)</f>
        <v>721</v>
      </c>
    </row>
    <row r="278" spans="1:12" x14ac:dyDescent="0.3">
      <c r="A278" s="5" t="s">
        <v>17</v>
      </c>
      <c r="B278" s="5" t="s">
        <v>13</v>
      </c>
      <c r="C278" s="5" t="s">
        <v>14</v>
      </c>
      <c r="D278" s="5" t="s">
        <v>20</v>
      </c>
      <c r="E278" s="5" t="s">
        <v>12</v>
      </c>
      <c r="F278" s="5">
        <v>63</v>
      </c>
      <c r="G278" s="5">
        <v>61</v>
      </c>
      <c r="H278" s="6">
        <v>54</v>
      </c>
      <c r="I278" s="5">
        <f>SUM(F278:H278)</f>
        <v>178</v>
      </c>
      <c r="J278" s="7">
        <f>AVERAGE(F278:H278)</f>
        <v>59.333333333333336</v>
      </c>
      <c r="K278" s="8">
        <f>I278/300</f>
        <v>0.59333333333333338</v>
      </c>
      <c r="L278" s="5">
        <f>_xlfn.RANK.EQ(J278,$J$2:$J$1001,0)</f>
        <v>721</v>
      </c>
    </row>
    <row r="279" spans="1:12" x14ac:dyDescent="0.3">
      <c r="A279" s="5" t="s">
        <v>8</v>
      </c>
      <c r="B279" s="5" t="s">
        <v>13</v>
      </c>
      <c r="C279" s="5" t="s">
        <v>16</v>
      </c>
      <c r="D279" s="5" t="s">
        <v>20</v>
      </c>
      <c r="E279" s="5" t="s">
        <v>12</v>
      </c>
      <c r="F279" s="5">
        <v>52</v>
      </c>
      <c r="G279" s="5">
        <v>65</v>
      </c>
      <c r="H279" s="6">
        <v>61</v>
      </c>
      <c r="I279" s="5">
        <f>SUM(F279:H279)</f>
        <v>178</v>
      </c>
      <c r="J279" s="7">
        <f>AVERAGE(F279:H279)</f>
        <v>59.333333333333336</v>
      </c>
      <c r="K279" s="8">
        <f>I279/300</f>
        <v>0.59333333333333338</v>
      </c>
      <c r="L279" s="5">
        <f>_xlfn.RANK.EQ(J279,$J$2:$J$1001,0)</f>
        <v>721</v>
      </c>
    </row>
    <row r="280" spans="1:12" x14ac:dyDescent="0.3">
      <c r="A280" s="5" t="s">
        <v>8</v>
      </c>
      <c r="B280" s="5" t="s">
        <v>18</v>
      </c>
      <c r="C280" s="5" t="s">
        <v>14</v>
      </c>
      <c r="D280" s="5" t="s">
        <v>20</v>
      </c>
      <c r="E280" s="5" t="s">
        <v>12</v>
      </c>
      <c r="F280" s="5">
        <v>61</v>
      </c>
      <c r="G280" s="5">
        <v>60</v>
      </c>
      <c r="H280" s="6">
        <v>57</v>
      </c>
      <c r="I280" s="5">
        <f>SUM(F280:H280)</f>
        <v>178</v>
      </c>
      <c r="J280" s="7">
        <f>AVERAGE(F280:H280)</f>
        <v>59.333333333333336</v>
      </c>
      <c r="K280" s="8">
        <f>I280/300</f>
        <v>0.59333333333333338</v>
      </c>
      <c r="L280" s="5">
        <f>_xlfn.RANK.EQ(J280,$J$2:$J$1001,0)</f>
        <v>721</v>
      </c>
    </row>
    <row r="281" spans="1:12" x14ac:dyDescent="0.3">
      <c r="A281" s="5" t="s">
        <v>8</v>
      </c>
      <c r="B281" s="5" t="s">
        <v>18</v>
      </c>
      <c r="C281" s="5" t="s">
        <v>14</v>
      </c>
      <c r="D281" s="5" t="s">
        <v>11</v>
      </c>
      <c r="E281" s="5" t="s">
        <v>12</v>
      </c>
      <c r="F281" s="5">
        <v>56</v>
      </c>
      <c r="G281" s="5">
        <v>58</v>
      </c>
      <c r="H281" s="6">
        <v>64</v>
      </c>
      <c r="I281" s="5">
        <f>SUM(F281:H281)</f>
        <v>178</v>
      </c>
      <c r="J281" s="7">
        <f>AVERAGE(F281:H281)</f>
        <v>59.333333333333336</v>
      </c>
      <c r="K281" s="8">
        <f>I281/300</f>
        <v>0.59333333333333338</v>
      </c>
      <c r="L281" s="5">
        <f>_xlfn.RANK.EQ(J281,$J$2:$J$1001,0)</f>
        <v>721</v>
      </c>
    </row>
    <row r="282" spans="1:12" x14ac:dyDescent="0.3">
      <c r="A282" s="5" t="s">
        <v>8</v>
      </c>
      <c r="B282" s="5" t="s">
        <v>9</v>
      </c>
      <c r="C282" s="5" t="s">
        <v>22</v>
      </c>
      <c r="D282" s="5" t="s">
        <v>11</v>
      </c>
      <c r="E282" s="5" t="s">
        <v>12</v>
      </c>
      <c r="F282" s="5">
        <v>58</v>
      </c>
      <c r="G282" s="5">
        <v>62</v>
      </c>
      <c r="H282" s="6">
        <v>59</v>
      </c>
      <c r="I282" s="5">
        <f>SUM(F282:H282)</f>
        <v>179</v>
      </c>
      <c r="J282" s="7">
        <f>AVERAGE(F282:H282)</f>
        <v>59.666666666666664</v>
      </c>
      <c r="K282" s="8">
        <f>I282/300</f>
        <v>0.59666666666666668</v>
      </c>
      <c r="L282" s="5">
        <f>_xlfn.RANK.EQ(J282,$J$2:$J$1001,0)</f>
        <v>716</v>
      </c>
    </row>
    <row r="283" spans="1:12" x14ac:dyDescent="0.3">
      <c r="A283" s="5" t="s">
        <v>8</v>
      </c>
      <c r="B283" s="5" t="s">
        <v>21</v>
      </c>
      <c r="C283" s="5" t="s">
        <v>22</v>
      </c>
      <c r="D283" s="5" t="s">
        <v>11</v>
      </c>
      <c r="E283" s="5" t="s">
        <v>15</v>
      </c>
      <c r="F283" s="5">
        <v>57</v>
      </c>
      <c r="G283" s="5">
        <v>58</v>
      </c>
      <c r="H283" s="6">
        <v>64</v>
      </c>
      <c r="I283" s="5">
        <f>SUM(F283:H283)</f>
        <v>179</v>
      </c>
      <c r="J283" s="7">
        <f>AVERAGE(F283:H283)</f>
        <v>59.666666666666664</v>
      </c>
      <c r="K283" s="8">
        <f>I283/300</f>
        <v>0.59666666666666668</v>
      </c>
      <c r="L283" s="5">
        <f>_xlfn.RANK.EQ(J283,$J$2:$J$1001,0)</f>
        <v>716</v>
      </c>
    </row>
    <row r="284" spans="1:12" x14ac:dyDescent="0.3">
      <c r="A284" s="5" t="s">
        <v>8</v>
      </c>
      <c r="B284" s="5" t="s">
        <v>21</v>
      </c>
      <c r="C284" s="5" t="s">
        <v>22</v>
      </c>
      <c r="D284" s="5" t="s">
        <v>11</v>
      </c>
      <c r="E284" s="5" t="s">
        <v>12</v>
      </c>
      <c r="F284" s="5">
        <v>51</v>
      </c>
      <c r="G284" s="5">
        <v>66</v>
      </c>
      <c r="H284" s="6">
        <v>62</v>
      </c>
      <c r="I284" s="5">
        <f>SUM(F284:H284)</f>
        <v>179</v>
      </c>
      <c r="J284" s="7">
        <f>AVERAGE(F284:H284)</f>
        <v>59.666666666666664</v>
      </c>
      <c r="K284" s="8">
        <f>I284/300</f>
        <v>0.59666666666666668</v>
      </c>
      <c r="L284" s="5">
        <f>_xlfn.RANK.EQ(J284,$J$2:$J$1001,0)</f>
        <v>716</v>
      </c>
    </row>
    <row r="285" spans="1:12" x14ac:dyDescent="0.3">
      <c r="A285" s="5" t="s">
        <v>8</v>
      </c>
      <c r="B285" s="5" t="s">
        <v>18</v>
      </c>
      <c r="C285" s="5" t="s">
        <v>23</v>
      </c>
      <c r="D285" s="5" t="s">
        <v>11</v>
      </c>
      <c r="E285" s="5" t="s">
        <v>12</v>
      </c>
      <c r="F285" s="5">
        <v>48</v>
      </c>
      <c r="G285" s="5">
        <v>66</v>
      </c>
      <c r="H285" s="6">
        <v>65</v>
      </c>
      <c r="I285" s="5">
        <f>SUM(F285:H285)</f>
        <v>179</v>
      </c>
      <c r="J285" s="7">
        <f>AVERAGE(F285:H285)</f>
        <v>59.666666666666664</v>
      </c>
      <c r="K285" s="8">
        <f>I285/300</f>
        <v>0.59666666666666668</v>
      </c>
      <c r="L285" s="5">
        <f>_xlfn.RANK.EQ(J285,$J$2:$J$1001,0)</f>
        <v>716</v>
      </c>
    </row>
    <row r="286" spans="1:12" x14ac:dyDescent="0.3">
      <c r="A286" s="5" t="s">
        <v>8</v>
      </c>
      <c r="B286" s="5" t="s">
        <v>13</v>
      </c>
      <c r="C286" s="5" t="s">
        <v>10</v>
      </c>
      <c r="D286" s="5" t="s">
        <v>11</v>
      </c>
      <c r="E286" s="5" t="s">
        <v>15</v>
      </c>
      <c r="F286" s="5">
        <v>52</v>
      </c>
      <c r="G286" s="5">
        <v>61</v>
      </c>
      <c r="H286" s="6">
        <v>66</v>
      </c>
      <c r="I286" s="5">
        <f>SUM(F286:H286)</f>
        <v>179</v>
      </c>
      <c r="J286" s="7">
        <f>AVERAGE(F286:H286)</f>
        <v>59.666666666666664</v>
      </c>
      <c r="K286" s="8">
        <f>I286/300</f>
        <v>0.59666666666666668</v>
      </c>
      <c r="L286" s="5">
        <f>_xlfn.RANK.EQ(J286,$J$2:$J$1001,0)</f>
        <v>716</v>
      </c>
    </row>
    <row r="287" spans="1:12" x14ac:dyDescent="0.3">
      <c r="A287" s="5" t="s">
        <v>17</v>
      </c>
      <c r="B287" s="5" t="s">
        <v>9</v>
      </c>
      <c r="C287" s="5" t="s">
        <v>14</v>
      </c>
      <c r="D287" s="5" t="s">
        <v>20</v>
      </c>
      <c r="E287" s="5" t="s">
        <v>12</v>
      </c>
      <c r="F287" s="5">
        <v>60</v>
      </c>
      <c r="G287" s="5">
        <v>60</v>
      </c>
      <c r="H287" s="6">
        <v>60</v>
      </c>
      <c r="I287" s="5">
        <f>SUM(F287:H287)</f>
        <v>180</v>
      </c>
      <c r="J287" s="7">
        <f>AVERAGE(F287:H287)</f>
        <v>60</v>
      </c>
      <c r="K287" s="8">
        <f>I287/300</f>
        <v>0.6</v>
      </c>
      <c r="L287" s="5">
        <f>_xlfn.RANK.EQ(J287,$J$2:$J$1001,0)</f>
        <v>708</v>
      </c>
    </row>
    <row r="288" spans="1:12" x14ac:dyDescent="0.3">
      <c r="A288" s="5" t="s">
        <v>17</v>
      </c>
      <c r="B288" s="5" t="s">
        <v>13</v>
      </c>
      <c r="C288" s="5" t="s">
        <v>23</v>
      </c>
      <c r="D288" s="5" t="s">
        <v>11</v>
      </c>
      <c r="E288" s="5" t="s">
        <v>15</v>
      </c>
      <c r="F288" s="5">
        <v>63</v>
      </c>
      <c r="G288" s="5">
        <v>60</v>
      </c>
      <c r="H288" s="6">
        <v>57</v>
      </c>
      <c r="I288" s="5">
        <f>SUM(F288:H288)</f>
        <v>180</v>
      </c>
      <c r="J288" s="7">
        <f>AVERAGE(F288:H288)</f>
        <v>60</v>
      </c>
      <c r="K288" s="8">
        <f>I288/300</f>
        <v>0.6</v>
      </c>
      <c r="L288" s="5">
        <f>_xlfn.RANK.EQ(J288,$J$2:$J$1001,0)</f>
        <v>708</v>
      </c>
    </row>
    <row r="289" spans="1:12" x14ac:dyDescent="0.3">
      <c r="A289" s="5" t="s">
        <v>17</v>
      </c>
      <c r="B289" s="5" t="s">
        <v>9</v>
      </c>
      <c r="C289" s="5" t="s">
        <v>14</v>
      </c>
      <c r="D289" s="5" t="s">
        <v>11</v>
      </c>
      <c r="E289" s="5" t="s">
        <v>12</v>
      </c>
      <c r="F289" s="5">
        <v>62</v>
      </c>
      <c r="G289" s="5">
        <v>61</v>
      </c>
      <c r="H289" s="6">
        <v>57</v>
      </c>
      <c r="I289" s="5">
        <f>SUM(F289:H289)</f>
        <v>180</v>
      </c>
      <c r="J289" s="7">
        <f>AVERAGE(F289:H289)</f>
        <v>60</v>
      </c>
      <c r="K289" s="8">
        <f>I289/300</f>
        <v>0.6</v>
      </c>
      <c r="L289" s="5">
        <f>_xlfn.RANK.EQ(J289,$J$2:$J$1001,0)</f>
        <v>708</v>
      </c>
    </row>
    <row r="290" spans="1:12" x14ac:dyDescent="0.3">
      <c r="A290" s="5" t="s">
        <v>17</v>
      </c>
      <c r="B290" s="5" t="s">
        <v>13</v>
      </c>
      <c r="C290" s="5" t="s">
        <v>22</v>
      </c>
      <c r="D290" s="5" t="s">
        <v>11</v>
      </c>
      <c r="E290" s="5" t="s">
        <v>15</v>
      </c>
      <c r="F290" s="5">
        <v>69</v>
      </c>
      <c r="G290" s="5">
        <v>58</v>
      </c>
      <c r="H290" s="6">
        <v>53</v>
      </c>
      <c r="I290" s="5">
        <f>SUM(F290:H290)</f>
        <v>180</v>
      </c>
      <c r="J290" s="7">
        <f>AVERAGE(F290:H290)</f>
        <v>60</v>
      </c>
      <c r="K290" s="8">
        <f>I290/300</f>
        <v>0.6</v>
      </c>
      <c r="L290" s="5">
        <f>_xlfn.RANK.EQ(J290,$J$2:$J$1001,0)</f>
        <v>708</v>
      </c>
    </row>
    <row r="291" spans="1:12" x14ac:dyDescent="0.3">
      <c r="A291" s="5" t="s">
        <v>8</v>
      </c>
      <c r="B291" s="5" t="s">
        <v>9</v>
      </c>
      <c r="C291" s="5" t="s">
        <v>22</v>
      </c>
      <c r="D291" s="5" t="s">
        <v>20</v>
      </c>
      <c r="E291" s="5" t="s">
        <v>12</v>
      </c>
      <c r="F291" s="5">
        <v>50</v>
      </c>
      <c r="G291" s="5">
        <v>67</v>
      </c>
      <c r="H291" s="6">
        <v>63</v>
      </c>
      <c r="I291" s="5">
        <f>SUM(F291:H291)</f>
        <v>180</v>
      </c>
      <c r="J291" s="7">
        <f>AVERAGE(F291:H291)</f>
        <v>60</v>
      </c>
      <c r="K291" s="8">
        <f>I291/300</f>
        <v>0.6</v>
      </c>
      <c r="L291" s="5">
        <f>_xlfn.RANK.EQ(J291,$J$2:$J$1001,0)</f>
        <v>708</v>
      </c>
    </row>
    <row r="292" spans="1:12" x14ac:dyDescent="0.3">
      <c r="A292" s="5" t="s">
        <v>8</v>
      </c>
      <c r="B292" s="5" t="s">
        <v>13</v>
      </c>
      <c r="C292" s="5" t="s">
        <v>23</v>
      </c>
      <c r="D292" s="5" t="s">
        <v>11</v>
      </c>
      <c r="E292" s="5" t="s">
        <v>15</v>
      </c>
      <c r="F292" s="5">
        <v>59</v>
      </c>
      <c r="G292" s="5">
        <v>54</v>
      </c>
      <c r="H292" s="6">
        <v>67</v>
      </c>
      <c r="I292" s="5">
        <f>SUM(F292:H292)</f>
        <v>180</v>
      </c>
      <c r="J292" s="7">
        <f>AVERAGE(F292:H292)</f>
        <v>60</v>
      </c>
      <c r="K292" s="8">
        <f>I292/300</f>
        <v>0.6</v>
      </c>
      <c r="L292" s="5">
        <f>_xlfn.RANK.EQ(J292,$J$2:$J$1001,0)</f>
        <v>708</v>
      </c>
    </row>
    <row r="293" spans="1:12" x14ac:dyDescent="0.3">
      <c r="A293" s="5" t="s">
        <v>8</v>
      </c>
      <c r="B293" s="5" t="s">
        <v>13</v>
      </c>
      <c r="C293" s="5" t="s">
        <v>22</v>
      </c>
      <c r="D293" s="5" t="s">
        <v>20</v>
      </c>
      <c r="E293" s="5" t="s">
        <v>15</v>
      </c>
      <c r="F293" s="5">
        <v>50</v>
      </c>
      <c r="G293" s="5">
        <v>66</v>
      </c>
      <c r="H293" s="6">
        <v>64</v>
      </c>
      <c r="I293" s="5">
        <f>SUM(F293:H293)</f>
        <v>180</v>
      </c>
      <c r="J293" s="7">
        <f>AVERAGE(F293:H293)</f>
        <v>60</v>
      </c>
      <c r="K293" s="8">
        <f>I293/300</f>
        <v>0.6</v>
      </c>
      <c r="L293" s="5">
        <f>_xlfn.RANK.EQ(J293,$J$2:$J$1001,0)</f>
        <v>708</v>
      </c>
    </row>
    <row r="294" spans="1:12" x14ac:dyDescent="0.3">
      <c r="A294" s="5" t="s">
        <v>8</v>
      </c>
      <c r="B294" s="5" t="s">
        <v>9</v>
      </c>
      <c r="C294" s="5" t="s">
        <v>14</v>
      </c>
      <c r="D294" s="5" t="s">
        <v>11</v>
      </c>
      <c r="E294" s="5" t="s">
        <v>15</v>
      </c>
      <c r="F294" s="5">
        <v>50</v>
      </c>
      <c r="G294" s="5">
        <v>64</v>
      </c>
      <c r="H294" s="6">
        <v>66</v>
      </c>
      <c r="I294" s="5">
        <f>SUM(F294:H294)</f>
        <v>180</v>
      </c>
      <c r="J294" s="7">
        <f>AVERAGE(F294:H294)</f>
        <v>60</v>
      </c>
      <c r="K294" s="8">
        <f>I294/300</f>
        <v>0.6</v>
      </c>
      <c r="L294" s="5">
        <f>_xlfn.RANK.EQ(J294,$J$2:$J$1001,0)</f>
        <v>708</v>
      </c>
    </row>
    <row r="295" spans="1:12" x14ac:dyDescent="0.3">
      <c r="A295" s="5" t="s">
        <v>17</v>
      </c>
      <c r="B295" s="5" t="s">
        <v>21</v>
      </c>
      <c r="C295" s="5" t="s">
        <v>14</v>
      </c>
      <c r="D295" s="5" t="s">
        <v>11</v>
      </c>
      <c r="E295" s="5" t="s">
        <v>15</v>
      </c>
      <c r="F295" s="5">
        <v>63</v>
      </c>
      <c r="G295" s="5">
        <v>55</v>
      </c>
      <c r="H295" s="6">
        <v>63</v>
      </c>
      <c r="I295" s="5">
        <f>SUM(F295:H295)</f>
        <v>181</v>
      </c>
      <c r="J295" s="7">
        <f>AVERAGE(F295:H295)</f>
        <v>60.333333333333336</v>
      </c>
      <c r="K295" s="8">
        <f>I295/300</f>
        <v>0.60333333333333339</v>
      </c>
      <c r="L295" s="5">
        <f>_xlfn.RANK.EQ(J295,$J$2:$J$1001,0)</f>
        <v>700</v>
      </c>
    </row>
    <row r="296" spans="1:12" x14ac:dyDescent="0.3">
      <c r="A296" s="5" t="s">
        <v>17</v>
      </c>
      <c r="B296" s="5" t="s">
        <v>24</v>
      </c>
      <c r="C296" s="5" t="s">
        <v>22</v>
      </c>
      <c r="D296" s="5" t="s">
        <v>11</v>
      </c>
      <c r="E296" s="5" t="s">
        <v>12</v>
      </c>
      <c r="F296" s="5">
        <v>70</v>
      </c>
      <c r="G296" s="5">
        <v>55</v>
      </c>
      <c r="H296" s="6">
        <v>56</v>
      </c>
      <c r="I296" s="5">
        <f>SUM(F296:H296)</f>
        <v>181</v>
      </c>
      <c r="J296" s="7">
        <f>AVERAGE(F296:H296)</f>
        <v>60.333333333333336</v>
      </c>
      <c r="K296" s="8">
        <f>I296/300</f>
        <v>0.60333333333333339</v>
      </c>
      <c r="L296" s="5">
        <f>_xlfn.RANK.EQ(J296,$J$2:$J$1001,0)</f>
        <v>700</v>
      </c>
    </row>
    <row r="297" spans="1:12" x14ac:dyDescent="0.3">
      <c r="A297" s="5" t="s">
        <v>17</v>
      </c>
      <c r="B297" s="5" t="s">
        <v>13</v>
      </c>
      <c r="C297" s="5" t="s">
        <v>22</v>
      </c>
      <c r="D297" s="5" t="s">
        <v>11</v>
      </c>
      <c r="E297" s="5" t="s">
        <v>12</v>
      </c>
      <c r="F297" s="5">
        <v>68</v>
      </c>
      <c r="G297" s="5">
        <v>60</v>
      </c>
      <c r="H297" s="6">
        <v>53</v>
      </c>
      <c r="I297" s="5">
        <f>SUM(F297:H297)</f>
        <v>181</v>
      </c>
      <c r="J297" s="7">
        <f>AVERAGE(F297:H297)</f>
        <v>60.333333333333336</v>
      </c>
      <c r="K297" s="8">
        <f>I297/300</f>
        <v>0.60333333333333339</v>
      </c>
      <c r="L297" s="5">
        <f>_xlfn.RANK.EQ(J297,$J$2:$J$1001,0)</f>
        <v>700</v>
      </c>
    </row>
    <row r="298" spans="1:12" x14ac:dyDescent="0.3">
      <c r="A298" s="5" t="s">
        <v>17</v>
      </c>
      <c r="B298" s="5" t="s">
        <v>24</v>
      </c>
      <c r="C298" s="5" t="s">
        <v>19</v>
      </c>
      <c r="D298" s="5" t="s">
        <v>11</v>
      </c>
      <c r="E298" s="5" t="s">
        <v>15</v>
      </c>
      <c r="F298" s="5">
        <v>62</v>
      </c>
      <c r="G298" s="5">
        <v>61</v>
      </c>
      <c r="H298" s="6">
        <v>58</v>
      </c>
      <c r="I298" s="5">
        <f>SUM(F298:H298)</f>
        <v>181</v>
      </c>
      <c r="J298" s="7">
        <f>AVERAGE(F298:H298)</f>
        <v>60.333333333333336</v>
      </c>
      <c r="K298" s="8">
        <f>I298/300</f>
        <v>0.60333333333333339</v>
      </c>
      <c r="L298" s="5">
        <f>_xlfn.RANK.EQ(J298,$J$2:$J$1001,0)</f>
        <v>700</v>
      </c>
    </row>
    <row r="299" spans="1:12" x14ac:dyDescent="0.3">
      <c r="A299" s="5" t="s">
        <v>17</v>
      </c>
      <c r="B299" s="5" t="s">
        <v>9</v>
      </c>
      <c r="C299" s="5" t="s">
        <v>10</v>
      </c>
      <c r="D299" s="5" t="s">
        <v>20</v>
      </c>
      <c r="E299" s="5" t="s">
        <v>12</v>
      </c>
      <c r="F299" s="5">
        <v>62</v>
      </c>
      <c r="G299" s="5">
        <v>63</v>
      </c>
      <c r="H299" s="6">
        <v>56</v>
      </c>
      <c r="I299" s="5">
        <f>SUM(F299:H299)</f>
        <v>181</v>
      </c>
      <c r="J299" s="7">
        <f>AVERAGE(F299:H299)</f>
        <v>60.333333333333336</v>
      </c>
      <c r="K299" s="8">
        <f>I299/300</f>
        <v>0.60333333333333339</v>
      </c>
      <c r="L299" s="5">
        <f>_xlfn.RANK.EQ(J299,$J$2:$J$1001,0)</f>
        <v>700</v>
      </c>
    </row>
    <row r="300" spans="1:12" x14ac:dyDescent="0.3">
      <c r="A300" s="5" t="s">
        <v>8</v>
      </c>
      <c r="B300" s="5" t="s">
        <v>24</v>
      </c>
      <c r="C300" s="5" t="s">
        <v>10</v>
      </c>
      <c r="D300" s="5" t="s">
        <v>20</v>
      </c>
      <c r="E300" s="5" t="s">
        <v>12</v>
      </c>
      <c r="F300" s="5">
        <v>61</v>
      </c>
      <c r="G300" s="5">
        <v>58</v>
      </c>
      <c r="H300" s="6">
        <v>62</v>
      </c>
      <c r="I300" s="5">
        <f>SUM(F300:H300)</f>
        <v>181</v>
      </c>
      <c r="J300" s="7">
        <f>AVERAGE(F300:H300)</f>
        <v>60.333333333333336</v>
      </c>
      <c r="K300" s="8">
        <f>I300/300</f>
        <v>0.60333333333333339</v>
      </c>
      <c r="L300" s="5">
        <f>_xlfn.RANK.EQ(J300,$J$2:$J$1001,0)</f>
        <v>700</v>
      </c>
    </row>
    <row r="301" spans="1:12" x14ac:dyDescent="0.3">
      <c r="A301" s="5" t="s">
        <v>17</v>
      </c>
      <c r="B301" s="5" t="s">
        <v>13</v>
      </c>
      <c r="C301" s="5" t="s">
        <v>23</v>
      </c>
      <c r="D301" s="5" t="s">
        <v>11</v>
      </c>
      <c r="E301" s="5" t="s">
        <v>12</v>
      </c>
      <c r="F301" s="5">
        <v>62</v>
      </c>
      <c r="G301" s="5">
        <v>64</v>
      </c>
      <c r="H301" s="6">
        <v>55</v>
      </c>
      <c r="I301" s="5">
        <f>SUM(F301:H301)</f>
        <v>181</v>
      </c>
      <c r="J301" s="7">
        <f>AVERAGE(F301:H301)</f>
        <v>60.333333333333336</v>
      </c>
      <c r="K301" s="8">
        <f>I301/300</f>
        <v>0.60333333333333339</v>
      </c>
      <c r="L301" s="5">
        <f>_xlfn.RANK.EQ(J301,$J$2:$J$1001,0)</f>
        <v>700</v>
      </c>
    </row>
    <row r="302" spans="1:12" x14ac:dyDescent="0.3">
      <c r="A302" s="5" t="s">
        <v>17</v>
      </c>
      <c r="B302" s="5" t="s">
        <v>21</v>
      </c>
      <c r="C302" s="5" t="s">
        <v>14</v>
      </c>
      <c r="D302" s="5" t="s">
        <v>20</v>
      </c>
      <c r="E302" s="5" t="s">
        <v>12</v>
      </c>
      <c r="F302" s="5">
        <v>62</v>
      </c>
      <c r="G302" s="5">
        <v>57</v>
      </c>
      <c r="H302" s="6">
        <v>62</v>
      </c>
      <c r="I302" s="5">
        <f>SUM(F302:H302)</f>
        <v>181</v>
      </c>
      <c r="J302" s="7">
        <f>AVERAGE(F302:H302)</f>
        <v>60.333333333333336</v>
      </c>
      <c r="K302" s="8">
        <f>I302/300</f>
        <v>0.60333333333333339</v>
      </c>
      <c r="L302" s="5">
        <f>_xlfn.RANK.EQ(J302,$J$2:$J$1001,0)</f>
        <v>700</v>
      </c>
    </row>
    <row r="303" spans="1:12" x14ac:dyDescent="0.3">
      <c r="A303" s="5" t="s">
        <v>8</v>
      </c>
      <c r="B303" s="5" t="s">
        <v>18</v>
      </c>
      <c r="C303" s="5" t="s">
        <v>19</v>
      </c>
      <c r="D303" s="5" t="s">
        <v>11</v>
      </c>
      <c r="E303" s="5" t="s">
        <v>15</v>
      </c>
      <c r="F303" s="5">
        <v>55</v>
      </c>
      <c r="G303" s="5">
        <v>65</v>
      </c>
      <c r="H303" s="6">
        <v>62</v>
      </c>
      <c r="I303" s="5">
        <f>SUM(F303:H303)</f>
        <v>182</v>
      </c>
      <c r="J303" s="7">
        <f>AVERAGE(F303:H303)</f>
        <v>60.666666666666664</v>
      </c>
      <c r="K303" s="8">
        <f>I303/300</f>
        <v>0.60666666666666669</v>
      </c>
      <c r="L303" s="5">
        <f>_xlfn.RANK.EQ(J303,$J$2:$J$1001,0)</f>
        <v>693</v>
      </c>
    </row>
    <row r="304" spans="1:12" x14ac:dyDescent="0.3">
      <c r="A304" s="5" t="s">
        <v>8</v>
      </c>
      <c r="B304" s="5" t="s">
        <v>13</v>
      </c>
      <c r="C304" s="5" t="s">
        <v>23</v>
      </c>
      <c r="D304" s="5" t="s">
        <v>20</v>
      </c>
      <c r="E304" s="5" t="s">
        <v>12</v>
      </c>
      <c r="F304" s="5">
        <v>55</v>
      </c>
      <c r="G304" s="5">
        <v>65</v>
      </c>
      <c r="H304" s="6">
        <v>62</v>
      </c>
      <c r="I304" s="5">
        <f>SUM(F304:H304)</f>
        <v>182</v>
      </c>
      <c r="J304" s="7">
        <f>AVERAGE(F304:H304)</f>
        <v>60.666666666666664</v>
      </c>
      <c r="K304" s="8">
        <f>I304/300</f>
        <v>0.60666666666666669</v>
      </c>
      <c r="L304" s="5">
        <f>_xlfn.RANK.EQ(J304,$J$2:$J$1001,0)</f>
        <v>693</v>
      </c>
    </row>
    <row r="305" spans="1:12" x14ac:dyDescent="0.3">
      <c r="A305" s="5" t="s">
        <v>17</v>
      </c>
      <c r="B305" s="5" t="s">
        <v>21</v>
      </c>
      <c r="C305" s="5" t="s">
        <v>14</v>
      </c>
      <c r="D305" s="5" t="s">
        <v>20</v>
      </c>
      <c r="E305" s="5" t="s">
        <v>12</v>
      </c>
      <c r="F305" s="5">
        <v>59</v>
      </c>
      <c r="G305" s="5">
        <v>62</v>
      </c>
      <c r="H305" s="6">
        <v>61</v>
      </c>
      <c r="I305" s="5">
        <f>SUM(F305:H305)</f>
        <v>182</v>
      </c>
      <c r="J305" s="7">
        <f>AVERAGE(F305:H305)</f>
        <v>60.666666666666664</v>
      </c>
      <c r="K305" s="8">
        <f>I305/300</f>
        <v>0.60666666666666669</v>
      </c>
      <c r="L305" s="5">
        <f>_xlfn.RANK.EQ(J305,$J$2:$J$1001,0)</f>
        <v>693</v>
      </c>
    </row>
    <row r="306" spans="1:12" x14ac:dyDescent="0.3">
      <c r="A306" s="5" t="s">
        <v>8</v>
      </c>
      <c r="B306" s="5" t="s">
        <v>21</v>
      </c>
      <c r="C306" s="5" t="s">
        <v>16</v>
      </c>
      <c r="D306" s="5" t="s">
        <v>11</v>
      </c>
      <c r="E306" s="5" t="s">
        <v>12</v>
      </c>
      <c r="F306" s="5">
        <v>53</v>
      </c>
      <c r="G306" s="5">
        <v>61</v>
      </c>
      <c r="H306" s="6">
        <v>68</v>
      </c>
      <c r="I306" s="5">
        <f>SUM(F306:H306)</f>
        <v>182</v>
      </c>
      <c r="J306" s="7">
        <f>AVERAGE(F306:H306)</f>
        <v>60.666666666666664</v>
      </c>
      <c r="K306" s="8">
        <f>I306/300</f>
        <v>0.60666666666666669</v>
      </c>
      <c r="L306" s="5">
        <f>_xlfn.RANK.EQ(J306,$J$2:$J$1001,0)</f>
        <v>693</v>
      </c>
    </row>
    <row r="307" spans="1:12" x14ac:dyDescent="0.3">
      <c r="A307" s="5" t="s">
        <v>17</v>
      </c>
      <c r="B307" s="5" t="s">
        <v>21</v>
      </c>
      <c r="C307" s="5" t="s">
        <v>14</v>
      </c>
      <c r="D307" s="5" t="s">
        <v>11</v>
      </c>
      <c r="E307" s="5" t="s">
        <v>12</v>
      </c>
      <c r="F307" s="5">
        <v>60</v>
      </c>
      <c r="G307" s="5">
        <v>63</v>
      </c>
      <c r="H307" s="6">
        <v>59</v>
      </c>
      <c r="I307" s="5">
        <f>SUM(F307:H307)</f>
        <v>182</v>
      </c>
      <c r="J307" s="7">
        <f>AVERAGE(F307:H307)</f>
        <v>60.666666666666664</v>
      </c>
      <c r="K307" s="8">
        <f>I307/300</f>
        <v>0.60666666666666669</v>
      </c>
      <c r="L307" s="5">
        <f>_xlfn.RANK.EQ(J307,$J$2:$J$1001,0)</f>
        <v>693</v>
      </c>
    </row>
    <row r="308" spans="1:12" x14ac:dyDescent="0.3">
      <c r="A308" s="5" t="s">
        <v>17</v>
      </c>
      <c r="B308" s="5" t="s">
        <v>18</v>
      </c>
      <c r="C308" s="5" t="s">
        <v>10</v>
      </c>
      <c r="D308" s="5" t="s">
        <v>11</v>
      </c>
      <c r="E308" s="5" t="s">
        <v>12</v>
      </c>
      <c r="F308" s="5">
        <v>64</v>
      </c>
      <c r="G308" s="5">
        <v>60</v>
      </c>
      <c r="H308" s="6">
        <v>58</v>
      </c>
      <c r="I308" s="5">
        <f>SUM(F308:H308)</f>
        <v>182</v>
      </c>
      <c r="J308" s="7">
        <f>AVERAGE(F308:H308)</f>
        <v>60.666666666666664</v>
      </c>
      <c r="K308" s="8">
        <f>I308/300</f>
        <v>0.60666666666666669</v>
      </c>
      <c r="L308" s="5">
        <f>_xlfn.RANK.EQ(J308,$J$2:$J$1001,0)</f>
        <v>693</v>
      </c>
    </row>
    <row r="309" spans="1:12" x14ac:dyDescent="0.3">
      <c r="A309" s="5" t="s">
        <v>17</v>
      </c>
      <c r="B309" s="5" t="s">
        <v>9</v>
      </c>
      <c r="C309" s="5" t="s">
        <v>14</v>
      </c>
      <c r="D309" s="5" t="s">
        <v>20</v>
      </c>
      <c r="E309" s="5" t="s">
        <v>15</v>
      </c>
      <c r="F309" s="5">
        <v>60</v>
      </c>
      <c r="G309" s="5">
        <v>62</v>
      </c>
      <c r="H309" s="6">
        <v>60</v>
      </c>
      <c r="I309" s="5">
        <f>SUM(F309:H309)</f>
        <v>182</v>
      </c>
      <c r="J309" s="7">
        <f>AVERAGE(F309:H309)</f>
        <v>60.666666666666664</v>
      </c>
      <c r="K309" s="8">
        <f>I309/300</f>
        <v>0.60666666666666669</v>
      </c>
      <c r="L309" s="5">
        <f>_xlfn.RANK.EQ(J309,$J$2:$J$1001,0)</f>
        <v>693</v>
      </c>
    </row>
    <row r="310" spans="1:12" x14ac:dyDescent="0.3">
      <c r="A310" s="5" t="s">
        <v>17</v>
      </c>
      <c r="B310" s="5" t="s">
        <v>9</v>
      </c>
      <c r="C310" s="5" t="s">
        <v>10</v>
      </c>
      <c r="D310" s="5" t="s">
        <v>11</v>
      </c>
      <c r="E310" s="5" t="s">
        <v>12</v>
      </c>
      <c r="F310" s="5">
        <v>66</v>
      </c>
      <c r="G310" s="5">
        <v>60</v>
      </c>
      <c r="H310" s="6">
        <v>57</v>
      </c>
      <c r="I310" s="5">
        <f>SUM(F310:H310)</f>
        <v>183</v>
      </c>
      <c r="J310" s="7">
        <f>AVERAGE(F310:H310)</f>
        <v>61</v>
      </c>
      <c r="K310" s="8">
        <f>I310/300</f>
        <v>0.61</v>
      </c>
      <c r="L310" s="5">
        <f>_xlfn.RANK.EQ(J310,$J$2:$J$1001,0)</f>
        <v>687</v>
      </c>
    </row>
    <row r="311" spans="1:12" x14ac:dyDescent="0.3">
      <c r="A311" s="5" t="s">
        <v>8</v>
      </c>
      <c r="B311" s="5" t="s">
        <v>13</v>
      </c>
      <c r="C311" s="5" t="s">
        <v>14</v>
      </c>
      <c r="D311" s="5" t="s">
        <v>11</v>
      </c>
      <c r="E311" s="5" t="s">
        <v>12</v>
      </c>
      <c r="F311" s="5">
        <v>54</v>
      </c>
      <c r="G311" s="5">
        <v>64</v>
      </c>
      <c r="H311" s="6">
        <v>65</v>
      </c>
      <c r="I311" s="5">
        <f>SUM(F311:H311)</f>
        <v>183</v>
      </c>
      <c r="J311" s="7">
        <f>AVERAGE(F311:H311)</f>
        <v>61</v>
      </c>
      <c r="K311" s="8">
        <f>I311/300</f>
        <v>0.61</v>
      </c>
      <c r="L311" s="5">
        <f>_xlfn.RANK.EQ(J311,$J$2:$J$1001,0)</f>
        <v>687</v>
      </c>
    </row>
    <row r="312" spans="1:12" x14ac:dyDescent="0.3">
      <c r="A312" s="5" t="s">
        <v>17</v>
      </c>
      <c r="B312" s="5" t="s">
        <v>18</v>
      </c>
      <c r="C312" s="5" t="s">
        <v>23</v>
      </c>
      <c r="D312" s="5" t="s">
        <v>11</v>
      </c>
      <c r="E312" s="5" t="s">
        <v>12</v>
      </c>
      <c r="F312" s="5">
        <v>71</v>
      </c>
      <c r="G312" s="5">
        <v>62</v>
      </c>
      <c r="H312" s="6">
        <v>50</v>
      </c>
      <c r="I312" s="5">
        <f>SUM(F312:H312)</f>
        <v>183</v>
      </c>
      <c r="J312" s="7">
        <f>AVERAGE(F312:H312)</f>
        <v>61</v>
      </c>
      <c r="K312" s="8">
        <f>I312/300</f>
        <v>0.61</v>
      </c>
      <c r="L312" s="5">
        <f>_xlfn.RANK.EQ(J312,$J$2:$J$1001,0)</f>
        <v>687</v>
      </c>
    </row>
    <row r="313" spans="1:12" x14ac:dyDescent="0.3">
      <c r="A313" s="5" t="s">
        <v>8</v>
      </c>
      <c r="B313" s="5" t="s">
        <v>13</v>
      </c>
      <c r="C313" s="5" t="s">
        <v>14</v>
      </c>
      <c r="D313" s="5" t="s">
        <v>11</v>
      </c>
      <c r="E313" s="5" t="s">
        <v>12</v>
      </c>
      <c r="F313" s="5">
        <v>58</v>
      </c>
      <c r="G313" s="5">
        <v>59</v>
      </c>
      <c r="H313" s="6">
        <v>66</v>
      </c>
      <c r="I313" s="5">
        <f>SUM(F313:H313)</f>
        <v>183</v>
      </c>
      <c r="J313" s="7">
        <f>AVERAGE(F313:H313)</f>
        <v>61</v>
      </c>
      <c r="K313" s="8">
        <f>I313/300</f>
        <v>0.61</v>
      </c>
      <c r="L313" s="5">
        <f>_xlfn.RANK.EQ(J313,$J$2:$J$1001,0)</f>
        <v>687</v>
      </c>
    </row>
    <row r="314" spans="1:12" x14ac:dyDescent="0.3">
      <c r="A314" s="5" t="s">
        <v>17</v>
      </c>
      <c r="B314" s="5" t="s">
        <v>13</v>
      </c>
      <c r="C314" s="5" t="s">
        <v>16</v>
      </c>
      <c r="D314" s="5" t="s">
        <v>11</v>
      </c>
      <c r="E314" s="5" t="s">
        <v>12</v>
      </c>
      <c r="F314" s="5">
        <v>67</v>
      </c>
      <c r="G314" s="5">
        <v>57</v>
      </c>
      <c r="H314" s="6">
        <v>59</v>
      </c>
      <c r="I314" s="5">
        <f>SUM(F314:H314)</f>
        <v>183</v>
      </c>
      <c r="J314" s="7">
        <f>AVERAGE(F314:H314)</f>
        <v>61</v>
      </c>
      <c r="K314" s="8">
        <f>I314/300</f>
        <v>0.61</v>
      </c>
      <c r="L314" s="5">
        <f>_xlfn.RANK.EQ(J314,$J$2:$J$1001,0)</f>
        <v>687</v>
      </c>
    </row>
    <row r="315" spans="1:12" x14ac:dyDescent="0.3">
      <c r="A315" s="5" t="s">
        <v>17</v>
      </c>
      <c r="B315" s="5" t="s">
        <v>24</v>
      </c>
      <c r="C315" s="5" t="s">
        <v>14</v>
      </c>
      <c r="D315" s="5" t="s">
        <v>11</v>
      </c>
      <c r="E315" s="5" t="s">
        <v>12</v>
      </c>
      <c r="F315" s="5">
        <v>69</v>
      </c>
      <c r="G315" s="5">
        <v>60</v>
      </c>
      <c r="H315" s="6">
        <v>54</v>
      </c>
      <c r="I315" s="5">
        <f>SUM(F315:H315)</f>
        <v>183</v>
      </c>
      <c r="J315" s="7">
        <f>AVERAGE(F315:H315)</f>
        <v>61</v>
      </c>
      <c r="K315" s="8">
        <f>I315/300</f>
        <v>0.61</v>
      </c>
      <c r="L315" s="5">
        <f>_xlfn.RANK.EQ(J315,$J$2:$J$1001,0)</f>
        <v>687</v>
      </c>
    </row>
    <row r="316" spans="1:12" x14ac:dyDescent="0.3">
      <c r="A316" s="5" t="s">
        <v>8</v>
      </c>
      <c r="B316" s="5" t="s">
        <v>9</v>
      </c>
      <c r="C316" s="5" t="s">
        <v>16</v>
      </c>
      <c r="D316" s="5" t="s">
        <v>20</v>
      </c>
      <c r="E316" s="5" t="s">
        <v>15</v>
      </c>
      <c r="F316" s="5">
        <v>52</v>
      </c>
      <c r="G316" s="5">
        <v>70</v>
      </c>
      <c r="H316" s="6">
        <v>62</v>
      </c>
      <c r="I316" s="5">
        <f>SUM(F316:H316)</f>
        <v>184</v>
      </c>
      <c r="J316" s="7">
        <f>AVERAGE(F316:H316)</f>
        <v>61.333333333333336</v>
      </c>
      <c r="K316" s="8">
        <f>I316/300</f>
        <v>0.61333333333333329</v>
      </c>
      <c r="L316" s="5">
        <f>_xlfn.RANK.EQ(J316,$J$2:$J$1001,0)</f>
        <v>678</v>
      </c>
    </row>
    <row r="317" spans="1:12" x14ac:dyDescent="0.3">
      <c r="A317" s="5" t="s">
        <v>8</v>
      </c>
      <c r="B317" s="5" t="s">
        <v>21</v>
      </c>
      <c r="C317" s="5" t="s">
        <v>19</v>
      </c>
      <c r="D317" s="5" t="s">
        <v>20</v>
      </c>
      <c r="E317" s="5" t="s">
        <v>12</v>
      </c>
      <c r="F317" s="5">
        <v>56</v>
      </c>
      <c r="G317" s="5">
        <v>65</v>
      </c>
      <c r="H317" s="6">
        <v>63</v>
      </c>
      <c r="I317" s="5">
        <f>SUM(F317:H317)</f>
        <v>184</v>
      </c>
      <c r="J317" s="7">
        <f>AVERAGE(F317:H317)</f>
        <v>61.333333333333336</v>
      </c>
      <c r="K317" s="8">
        <f>I317/300</f>
        <v>0.61333333333333329</v>
      </c>
      <c r="L317" s="5">
        <f>_xlfn.RANK.EQ(J317,$J$2:$J$1001,0)</f>
        <v>678</v>
      </c>
    </row>
    <row r="318" spans="1:12" x14ac:dyDescent="0.3">
      <c r="A318" s="5" t="s">
        <v>17</v>
      </c>
      <c r="B318" s="5" t="s">
        <v>13</v>
      </c>
      <c r="C318" s="5" t="s">
        <v>14</v>
      </c>
      <c r="D318" s="5" t="s">
        <v>11</v>
      </c>
      <c r="E318" s="5" t="s">
        <v>12</v>
      </c>
      <c r="F318" s="5">
        <v>61</v>
      </c>
      <c r="G318" s="5">
        <v>61</v>
      </c>
      <c r="H318" s="6">
        <v>62</v>
      </c>
      <c r="I318" s="5">
        <f>SUM(F318:H318)</f>
        <v>184</v>
      </c>
      <c r="J318" s="7">
        <f>AVERAGE(F318:H318)</f>
        <v>61.333333333333336</v>
      </c>
      <c r="K318" s="8">
        <f>I318/300</f>
        <v>0.61333333333333329</v>
      </c>
      <c r="L318" s="5">
        <f>_xlfn.RANK.EQ(J318,$J$2:$J$1001,0)</f>
        <v>678</v>
      </c>
    </row>
    <row r="319" spans="1:12" x14ac:dyDescent="0.3">
      <c r="A319" s="5" t="s">
        <v>17</v>
      </c>
      <c r="B319" s="5" t="s">
        <v>21</v>
      </c>
      <c r="C319" s="5" t="s">
        <v>10</v>
      </c>
      <c r="D319" s="5" t="s">
        <v>11</v>
      </c>
      <c r="E319" s="5" t="s">
        <v>12</v>
      </c>
      <c r="F319" s="5">
        <v>69</v>
      </c>
      <c r="G319" s="5">
        <v>58</v>
      </c>
      <c r="H319" s="6">
        <v>57</v>
      </c>
      <c r="I319" s="5">
        <f>SUM(F319:H319)</f>
        <v>184</v>
      </c>
      <c r="J319" s="7">
        <f>AVERAGE(F319:H319)</f>
        <v>61.333333333333336</v>
      </c>
      <c r="K319" s="8">
        <f>I319/300</f>
        <v>0.61333333333333329</v>
      </c>
      <c r="L319" s="5">
        <f>_xlfn.RANK.EQ(J319,$J$2:$J$1001,0)</f>
        <v>678</v>
      </c>
    </row>
    <row r="320" spans="1:12" x14ac:dyDescent="0.3">
      <c r="A320" s="5" t="s">
        <v>17</v>
      </c>
      <c r="B320" s="5" t="s">
        <v>21</v>
      </c>
      <c r="C320" s="5" t="s">
        <v>14</v>
      </c>
      <c r="D320" s="5" t="s">
        <v>20</v>
      </c>
      <c r="E320" s="5" t="s">
        <v>12</v>
      </c>
      <c r="F320" s="5">
        <v>63</v>
      </c>
      <c r="G320" s="5">
        <v>61</v>
      </c>
      <c r="H320" s="6">
        <v>60</v>
      </c>
      <c r="I320" s="5">
        <f>SUM(F320:H320)</f>
        <v>184</v>
      </c>
      <c r="J320" s="7">
        <f>AVERAGE(F320:H320)</f>
        <v>61.333333333333336</v>
      </c>
      <c r="K320" s="8">
        <f>I320/300</f>
        <v>0.61333333333333329</v>
      </c>
      <c r="L320" s="5">
        <f>_xlfn.RANK.EQ(J320,$J$2:$J$1001,0)</f>
        <v>678</v>
      </c>
    </row>
    <row r="321" spans="1:12" x14ac:dyDescent="0.3">
      <c r="A321" s="5" t="s">
        <v>17</v>
      </c>
      <c r="B321" s="5" t="s">
        <v>21</v>
      </c>
      <c r="C321" s="5" t="s">
        <v>19</v>
      </c>
      <c r="D321" s="5" t="s">
        <v>11</v>
      </c>
      <c r="E321" s="5" t="s">
        <v>15</v>
      </c>
      <c r="F321" s="5">
        <v>67</v>
      </c>
      <c r="G321" s="5">
        <v>54</v>
      </c>
      <c r="H321" s="6">
        <v>63</v>
      </c>
      <c r="I321" s="5">
        <f>SUM(F321:H321)</f>
        <v>184</v>
      </c>
      <c r="J321" s="7">
        <f>AVERAGE(F321:H321)</f>
        <v>61.333333333333336</v>
      </c>
      <c r="K321" s="8">
        <f>I321/300</f>
        <v>0.61333333333333329</v>
      </c>
      <c r="L321" s="5">
        <f>_xlfn.RANK.EQ(J321,$J$2:$J$1001,0)</f>
        <v>678</v>
      </c>
    </row>
    <row r="322" spans="1:12" x14ac:dyDescent="0.3">
      <c r="A322" s="5" t="s">
        <v>8</v>
      </c>
      <c r="B322" s="5" t="s">
        <v>9</v>
      </c>
      <c r="C322" s="5" t="s">
        <v>19</v>
      </c>
      <c r="D322" s="5" t="s">
        <v>20</v>
      </c>
      <c r="E322" s="5" t="s">
        <v>12</v>
      </c>
      <c r="F322" s="5">
        <v>54</v>
      </c>
      <c r="G322" s="5">
        <v>65</v>
      </c>
      <c r="H322" s="6">
        <v>65</v>
      </c>
      <c r="I322" s="5">
        <f>SUM(F322:H322)</f>
        <v>184</v>
      </c>
      <c r="J322" s="7">
        <f>AVERAGE(F322:H322)</f>
        <v>61.333333333333336</v>
      </c>
      <c r="K322" s="8">
        <f>I322/300</f>
        <v>0.61333333333333329</v>
      </c>
      <c r="L322" s="5">
        <f>_xlfn.RANK.EQ(J322,$J$2:$J$1001,0)</f>
        <v>678</v>
      </c>
    </row>
    <row r="323" spans="1:12" x14ac:dyDescent="0.3">
      <c r="A323" s="5" t="s">
        <v>17</v>
      </c>
      <c r="B323" s="5" t="s">
        <v>18</v>
      </c>
      <c r="C323" s="5" t="s">
        <v>23</v>
      </c>
      <c r="D323" s="5" t="s">
        <v>20</v>
      </c>
      <c r="E323" s="5" t="s">
        <v>15</v>
      </c>
      <c r="F323" s="5">
        <v>61</v>
      </c>
      <c r="G323" s="5">
        <v>62</v>
      </c>
      <c r="H323" s="6">
        <v>61</v>
      </c>
      <c r="I323" s="5">
        <f>SUM(F323:H323)</f>
        <v>184</v>
      </c>
      <c r="J323" s="7">
        <f>AVERAGE(F323:H323)</f>
        <v>61.333333333333336</v>
      </c>
      <c r="K323" s="8">
        <f>I323/300</f>
        <v>0.61333333333333329</v>
      </c>
      <c r="L323" s="5">
        <f>_xlfn.RANK.EQ(J323,$J$2:$J$1001,0)</f>
        <v>678</v>
      </c>
    </row>
    <row r="324" spans="1:12" x14ac:dyDescent="0.3">
      <c r="A324" s="5" t="s">
        <v>8</v>
      </c>
      <c r="B324" s="5" t="s">
        <v>18</v>
      </c>
      <c r="C324" s="5" t="s">
        <v>14</v>
      </c>
      <c r="D324" s="5" t="s">
        <v>11</v>
      </c>
      <c r="E324" s="5" t="s">
        <v>12</v>
      </c>
      <c r="F324" s="5">
        <v>54</v>
      </c>
      <c r="G324" s="5">
        <v>63</v>
      </c>
      <c r="H324" s="6">
        <v>67</v>
      </c>
      <c r="I324" s="5">
        <f>SUM(F324:H324)</f>
        <v>184</v>
      </c>
      <c r="J324" s="7">
        <f>AVERAGE(F324:H324)</f>
        <v>61.333333333333336</v>
      </c>
      <c r="K324" s="8">
        <f>I324/300</f>
        <v>0.61333333333333329</v>
      </c>
      <c r="L324" s="5">
        <f>_xlfn.RANK.EQ(J324,$J$2:$J$1001,0)</f>
        <v>678</v>
      </c>
    </row>
    <row r="325" spans="1:12" x14ac:dyDescent="0.3">
      <c r="A325" s="5" t="s">
        <v>8</v>
      </c>
      <c r="B325" s="5" t="s">
        <v>13</v>
      </c>
      <c r="C325" s="5" t="s">
        <v>14</v>
      </c>
      <c r="D325" s="5" t="s">
        <v>20</v>
      </c>
      <c r="E325" s="5" t="s">
        <v>12</v>
      </c>
      <c r="F325" s="5">
        <v>59</v>
      </c>
      <c r="G325" s="5">
        <v>62</v>
      </c>
      <c r="H325" s="6">
        <v>64</v>
      </c>
      <c r="I325" s="5">
        <f>SUM(F325:H325)</f>
        <v>185</v>
      </c>
      <c r="J325" s="7">
        <f>AVERAGE(F325:H325)</f>
        <v>61.666666666666664</v>
      </c>
      <c r="K325" s="8">
        <f>I325/300</f>
        <v>0.6166666666666667</v>
      </c>
      <c r="L325" s="5">
        <f>_xlfn.RANK.EQ(J325,$J$2:$J$1001,0)</f>
        <v>671</v>
      </c>
    </row>
    <row r="326" spans="1:12" x14ac:dyDescent="0.3">
      <c r="A326" s="5" t="s">
        <v>8</v>
      </c>
      <c r="B326" s="5" t="s">
        <v>9</v>
      </c>
      <c r="C326" s="5" t="s">
        <v>14</v>
      </c>
      <c r="D326" s="5" t="s">
        <v>20</v>
      </c>
      <c r="E326" s="5" t="s">
        <v>12</v>
      </c>
      <c r="F326" s="5">
        <v>58</v>
      </c>
      <c r="G326" s="5">
        <v>61</v>
      </c>
      <c r="H326" s="6">
        <v>66</v>
      </c>
      <c r="I326" s="5">
        <f>SUM(F326:H326)</f>
        <v>185</v>
      </c>
      <c r="J326" s="7">
        <f>AVERAGE(F326:H326)</f>
        <v>61.666666666666664</v>
      </c>
      <c r="K326" s="8">
        <f>I326/300</f>
        <v>0.6166666666666667</v>
      </c>
      <c r="L326" s="5">
        <f>_xlfn.RANK.EQ(J326,$J$2:$J$1001,0)</f>
        <v>671</v>
      </c>
    </row>
    <row r="327" spans="1:12" x14ac:dyDescent="0.3">
      <c r="A327" s="5" t="s">
        <v>17</v>
      </c>
      <c r="B327" s="5" t="s">
        <v>18</v>
      </c>
      <c r="C327" s="5" t="s">
        <v>19</v>
      </c>
      <c r="D327" s="5" t="s">
        <v>11</v>
      </c>
      <c r="E327" s="5" t="s">
        <v>12</v>
      </c>
      <c r="F327" s="5">
        <v>63</v>
      </c>
      <c r="G327" s="5">
        <v>61</v>
      </c>
      <c r="H327" s="6">
        <v>61</v>
      </c>
      <c r="I327" s="5">
        <f>SUM(F327:H327)</f>
        <v>185</v>
      </c>
      <c r="J327" s="7">
        <f>AVERAGE(F327:H327)</f>
        <v>61.666666666666664</v>
      </c>
      <c r="K327" s="8">
        <f>I327/300</f>
        <v>0.6166666666666667</v>
      </c>
      <c r="L327" s="5">
        <f>_xlfn.RANK.EQ(J327,$J$2:$J$1001,0)</f>
        <v>671</v>
      </c>
    </row>
    <row r="328" spans="1:12" x14ac:dyDescent="0.3">
      <c r="A328" s="5" t="s">
        <v>17</v>
      </c>
      <c r="B328" s="5" t="s">
        <v>13</v>
      </c>
      <c r="C328" s="5" t="s">
        <v>23</v>
      </c>
      <c r="D328" s="5" t="s">
        <v>20</v>
      </c>
      <c r="E328" s="5" t="s">
        <v>12</v>
      </c>
      <c r="F328" s="5">
        <v>68</v>
      </c>
      <c r="G328" s="5">
        <v>63</v>
      </c>
      <c r="H328" s="6">
        <v>54</v>
      </c>
      <c r="I328" s="5">
        <f>SUM(F328:H328)</f>
        <v>185</v>
      </c>
      <c r="J328" s="7">
        <f>AVERAGE(F328:H328)</f>
        <v>61.666666666666664</v>
      </c>
      <c r="K328" s="8">
        <f>I328/300</f>
        <v>0.6166666666666667</v>
      </c>
      <c r="L328" s="5">
        <f>_xlfn.RANK.EQ(J328,$J$2:$J$1001,0)</f>
        <v>671</v>
      </c>
    </row>
    <row r="329" spans="1:12" x14ac:dyDescent="0.3">
      <c r="A329" s="5" t="s">
        <v>8</v>
      </c>
      <c r="B329" s="5" t="s">
        <v>13</v>
      </c>
      <c r="C329" s="5" t="s">
        <v>16</v>
      </c>
      <c r="D329" s="5" t="s">
        <v>11</v>
      </c>
      <c r="E329" s="5" t="s">
        <v>15</v>
      </c>
      <c r="F329" s="5">
        <v>54</v>
      </c>
      <c r="G329" s="5">
        <v>64</v>
      </c>
      <c r="H329" s="6">
        <v>67</v>
      </c>
      <c r="I329" s="5">
        <f>SUM(F329:H329)</f>
        <v>185</v>
      </c>
      <c r="J329" s="7">
        <f>AVERAGE(F329:H329)</f>
        <v>61.666666666666664</v>
      </c>
      <c r="K329" s="8">
        <f>I329/300</f>
        <v>0.6166666666666667</v>
      </c>
      <c r="L329" s="5">
        <f>_xlfn.RANK.EQ(J329,$J$2:$J$1001,0)</f>
        <v>671</v>
      </c>
    </row>
    <row r="330" spans="1:12" x14ac:dyDescent="0.3">
      <c r="A330" s="5" t="s">
        <v>17</v>
      </c>
      <c r="B330" s="5" t="s">
        <v>13</v>
      </c>
      <c r="C330" s="5" t="s">
        <v>22</v>
      </c>
      <c r="D330" s="5" t="s">
        <v>20</v>
      </c>
      <c r="E330" s="5" t="s">
        <v>12</v>
      </c>
      <c r="F330" s="5">
        <v>54</v>
      </c>
      <c r="G330" s="5">
        <v>72</v>
      </c>
      <c r="H330" s="6">
        <v>59</v>
      </c>
      <c r="I330" s="5">
        <f>SUM(F330:H330)</f>
        <v>185</v>
      </c>
      <c r="J330" s="7">
        <f>AVERAGE(F330:H330)</f>
        <v>61.666666666666664</v>
      </c>
      <c r="K330" s="8">
        <f>I330/300</f>
        <v>0.6166666666666667</v>
      </c>
      <c r="L330" s="5">
        <f>_xlfn.RANK.EQ(J330,$J$2:$J$1001,0)</f>
        <v>671</v>
      </c>
    </row>
    <row r="331" spans="1:12" x14ac:dyDescent="0.3">
      <c r="A331" s="5" t="s">
        <v>17</v>
      </c>
      <c r="B331" s="5" t="s">
        <v>13</v>
      </c>
      <c r="C331" s="5" t="s">
        <v>19</v>
      </c>
      <c r="D331" s="5" t="s">
        <v>11</v>
      </c>
      <c r="E331" s="5" t="s">
        <v>12</v>
      </c>
      <c r="F331" s="5">
        <v>62</v>
      </c>
      <c r="G331" s="5">
        <v>65</v>
      </c>
      <c r="H331" s="6">
        <v>58</v>
      </c>
      <c r="I331" s="5">
        <f>SUM(F331:H331)</f>
        <v>185</v>
      </c>
      <c r="J331" s="7">
        <f>AVERAGE(F331:H331)</f>
        <v>61.666666666666664</v>
      </c>
      <c r="K331" s="8">
        <f>I331/300</f>
        <v>0.6166666666666667</v>
      </c>
      <c r="L331" s="5">
        <f>_xlfn.RANK.EQ(J331,$J$2:$J$1001,0)</f>
        <v>671</v>
      </c>
    </row>
    <row r="332" spans="1:12" x14ac:dyDescent="0.3">
      <c r="A332" s="5" t="s">
        <v>17</v>
      </c>
      <c r="B332" s="5" t="s">
        <v>9</v>
      </c>
      <c r="C332" s="5" t="s">
        <v>10</v>
      </c>
      <c r="D332" s="5" t="s">
        <v>20</v>
      </c>
      <c r="E332" s="5" t="s">
        <v>12</v>
      </c>
      <c r="F332" s="5">
        <v>73</v>
      </c>
      <c r="G332" s="5">
        <v>56</v>
      </c>
      <c r="H332" s="6">
        <v>57</v>
      </c>
      <c r="I332" s="5">
        <f>SUM(F332:H332)</f>
        <v>186</v>
      </c>
      <c r="J332" s="7">
        <f>AVERAGE(F332:H332)</f>
        <v>62</v>
      </c>
      <c r="K332" s="8">
        <f>I332/300</f>
        <v>0.62</v>
      </c>
      <c r="L332" s="5">
        <f>_xlfn.RANK.EQ(J332,$J$2:$J$1001,0)</f>
        <v>665</v>
      </c>
    </row>
    <row r="333" spans="1:12" x14ac:dyDescent="0.3">
      <c r="A333" s="5" t="s">
        <v>8</v>
      </c>
      <c r="B333" s="5" t="s">
        <v>9</v>
      </c>
      <c r="C333" s="5" t="s">
        <v>10</v>
      </c>
      <c r="D333" s="5" t="s">
        <v>11</v>
      </c>
      <c r="E333" s="5" t="s">
        <v>12</v>
      </c>
      <c r="F333" s="5">
        <v>52</v>
      </c>
      <c r="G333" s="5">
        <v>65</v>
      </c>
      <c r="H333" s="6">
        <v>69</v>
      </c>
      <c r="I333" s="5">
        <f>SUM(F333:H333)</f>
        <v>186</v>
      </c>
      <c r="J333" s="7">
        <f>AVERAGE(F333:H333)</f>
        <v>62</v>
      </c>
      <c r="K333" s="8">
        <f>I333/300</f>
        <v>0.62</v>
      </c>
      <c r="L333" s="5">
        <f>_xlfn.RANK.EQ(J333,$J$2:$J$1001,0)</f>
        <v>665</v>
      </c>
    </row>
    <row r="334" spans="1:12" x14ac:dyDescent="0.3">
      <c r="A334" s="5" t="s">
        <v>8</v>
      </c>
      <c r="B334" s="5" t="s">
        <v>9</v>
      </c>
      <c r="C334" s="5" t="s">
        <v>22</v>
      </c>
      <c r="D334" s="5" t="s">
        <v>11</v>
      </c>
      <c r="E334" s="5" t="s">
        <v>12</v>
      </c>
      <c r="F334" s="5">
        <v>54</v>
      </c>
      <c r="G334" s="5">
        <v>64</v>
      </c>
      <c r="H334" s="6">
        <v>68</v>
      </c>
      <c r="I334" s="5">
        <f>SUM(F334:H334)</f>
        <v>186</v>
      </c>
      <c r="J334" s="7">
        <f>AVERAGE(F334:H334)</f>
        <v>62</v>
      </c>
      <c r="K334" s="8">
        <f>I334/300</f>
        <v>0.62</v>
      </c>
      <c r="L334" s="5">
        <f>_xlfn.RANK.EQ(J334,$J$2:$J$1001,0)</f>
        <v>665</v>
      </c>
    </row>
    <row r="335" spans="1:12" x14ac:dyDescent="0.3">
      <c r="A335" s="5" t="s">
        <v>8</v>
      </c>
      <c r="B335" s="5" t="s">
        <v>9</v>
      </c>
      <c r="C335" s="5" t="s">
        <v>19</v>
      </c>
      <c r="D335" s="5" t="s">
        <v>11</v>
      </c>
      <c r="E335" s="5" t="s">
        <v>12</v>
      </c>
      <c r="F335" s="5">
        <v>58</v>
      </c>
      <c r="G335" s="5">
        <v>63</v>
      </c>
      <c r="H335" s="6">
        <v>65</v>
      </c>
      <c r="I335" s="5">
        <f>SUM(F335:H335)</f>
        <v>186</v>
      </c>
      <c r="J335" s="7">
        <f>AVERAGE(F335:H335)</f>
        <v>62</v>
      </c>
      <c r="K335" s="8">
        <f>I335/300</f>
        <v>0.62</v>
      </c>
      <c r="L335" s="5">
        <f>_xlfn.RANK.EQ(J335,$J$2:$J$1001,0)</f>
        <v>665</v>
      </c>
    </row>
    <row r="336" spans="1:12" x14ac:dyDescent="0.3">
      <c r="A336" s="5" t="s">
        <v>8</v>
      </c>
      <c r="B336" s="5" t="s">
        <v>9</v>
      </c>
      <c r="C336" s="5" t="s">
        <v>23</v>
      </c>
      <c r="D336" s="5" t="s">
        <v>20</v>
      </c>
      <c r="E336" s="5" t="s">
        <v>15</v>
      </c>
      <c r="F336" s="5">
        <v>59</v>
      </c>
      <c r="G336" s="5">
        <v>63</v>
      </c>
      <c r="H336" s="6">
        <v>64</v>
      </c>
      <c r="I336" s="5">
        <f>SUM(F336:H336)</f>
        <v>186</v>
      </c>
      <c r="J336" s="7">
        <f>AVERAGE(F336:H336)</f>
        <v>62</v>
      </c>
      <c r="K336" s="8">
        <f>I336/300</f>
        <v>0.62</v>
      </c>
      <c r="L336" s="5">
        <f>_xlfn.RANK.EQ(J336,$J$2:$J$1001,0)</f>
        <v>665</v>
      </c>
    </row>
    <row r="337" spans="1:12" x14ac:dyDescent="0.3">
      <c r="A337" s="5" t="s">
        <v>17</v>
      </c>
      <c r="B337" s="5" t="s">
        <v>13</v>
      </c>
      <c r="C337" s="5" t="s">
        <v>14</v>
      </c>
      <c r="D337" s="5" t="s">
        <v>11</v>
      </c>
      <c r="E337" s="5" t="s">
        <v>12</v>
      </c>
      <c r="F337" s="5">
        <v>63</v>
      </c>
      <c r="G337" s="5">
        <v>63</v>
      </c>
      <c r="H337" s="6">
        <v>60</v>
      </c>
      <c r="I337" s="5">
        <f>SUM(F337:H337)</f>
        <v>186</v>
      </c>
      <c r="J337" s="7">
        <f>AVERAGE(F337:H337)</f>
        <v>62</v>
      </c>
      <c r="K337" s="8">
        <f>I337/300</f>
        <v>0.62</v>
      </c>
      <c r="L337" s="5">
        <f>_xlfn.RANK.EQ(J337,$J$2:$J$1001,0)</f>
        <v>665</v>
      </c>
    </row>
    <row r="338" spans="1:12" x14ac:dyDescent="0.3">
      <c r="A338" s="5" t="s">
        <v>8</v>
      </c>
      <c r="B338" s="5" t="s">
        <v>21</v>
      </c>
      <c r="C338" s="5" t="s">
        <v>14</v>
      </c>
      <c r="D338" s="5" t="s">
        <v>20</v>
      </c>
      <c r="E338" s="5" t="s">
        <v>12</v>
      </c>
      <c r="F338" s="5">
        <v>58</v>
      </c>
      <c r="G338" s="5">
        <v>67</v>
      </c>
      <c r="H338" s="6">
        <v>62</v>
      </c>
      <c r="I338" s="5">
        <f>SUM(F338:H338)</f>
        <v>187</v>
      </c>
      <c r="J338" s="7">
        <f>AVERAGE(F338:H338)</f>
        <v>62.333333333333336</v>
      </c>
      <c r="K338" s="8">
        <f>I338/300</f>
        <v>0.62333333333333329</v>
      </c>
      <c r="L338" s="5">
        <f>_xlfn.RANK.EQ(J338,$J$2:$J$1001,0)</f>
        <v>657</v>
      </c>
    </row>
    <row r="339" spans="1:12" x14ac:dyDescent="0.3">
      <c r="A339" s="5" t="s">
        <v>8</v>
      </c>
      <c r="B339" s="5" t="s">
        <v>21</v>
      </c>
      <c r="C339" s="5" t="s">
        <v>23</v>
      </c>
      <c r="D339" s="5" t="s">
        <v>11</v>
      </c>
      <c r="E339" s="5" t="s">
        <v>12</v>
      </c>
      <c r="F339" s="5">
        <v>59</v>
      </c>
      <c r="G339" s="5">
        <v>67</v>
      </c>
      <c r="H339" s="6">
        <v>61</v>
      </c>
      <c r="I339" s="5">
        <f>SUM(F339:H339)</f>
        <v>187</v>
      </c>
      <c r="J339" s="7">
        <f>AVERAGE(F339:H339)</f>
        <v>62.333333333333336</v>
      </c>
      <c r="K339" s="8">
        <f>I339/300</f>
        <v>0.62333333333333329</v>
      </c>
      <c r="L339" s="5">
        <f>_xlfn.RANK.EQ(J339,$J$2:$J$1001,0)</f>
        <v>657</v>
      </c>
    </row>
    <row r="340" spans="1:12" x14ac:dyDescent="0.3">
      <c r="A340" s="5" t="s">
        <v>17</v>
      </c>
      <c r="B340" s="5" t="s">
        <v>24</v>
      </c>
      <c r="C340" s="5" t="s">
        <v>14</v>
      </c>
      <c r="D340" s="5" t="s">
        <v>11</v>
      </c>
      <c r="E340" s="5" t="s">
        <v>12</v>
      </c>
      <c r="F340" s="5">
        <v>68</v>
      </c>
      <c r="G340" s="5">
        <v>60</v>
      </c>
      <c r="H340" s="6">
        <v>59</v>
      </c>
      <c r="I340" s="5">
        <f>SUM(F340:H340)</f>
        <v>187</v>
      </c>
      <c r="J340" s="7">
        <f>AVERAGE(F340:H340)</f>
        <v>62.333333333333336</v>
      </c>
      <c r="K340" s="8">
        <f>I340/300</f>
        <v>0.62333333333333329</v>
      </c>
      <c r="L340" s="5">
        <f>_xlfn.RANK.EQ(J340,$J$2:$J$1001,0)</f>
        <v>657</v>
      </c>
    </row>
    <row r="341" spans="1:12" x14ac:dyDescent="0.3">
      <c r="A341" s="5" t="s">
        <v>8</v>
      </c>
      <c r="B341" s="5" t="s">
        <v>24</v>
      </c>
      <c r="C341" s="5" t="s">
        <v>14</v>
      </c>
      <c r="D341" s="5" t="s">
        <v>11</v>
      </c>
      <c r="E341" s="5" t="s">
        <v>12</v>
      </c>
      <c r="F341" s="5">
        <v>61</v>
      </c>
      <c r="G341" s="5">
        <v>64</v>
      </c>
      <c r="H341" s="6">
        <v>62</v>
      </c>
      <c r="I341" s="5">
        <f>SUM(F341:H341)</f>
        <v>187</v>
      </c>
      <c r="J341" s="7">
        <f>AVERAGE(F341:H341)</f>
        <v>62.333333333333336</v>
      </c>
      <c r="K341" s="8">
        <f>I341/300</f>
        <v>0.62333333333333329</v>
      </c>
      <c r="L341" s="5">
        <f>_xlfn.RANK.EQ(J341,$J$2:$J$1001,0)</f>
        <v>657</v>
      </c>
    </row>
    <row r="342" spans="1:12" x14ac:dyDescent="0.3">
      <c r="A342" s="5" t="s">
        <v>8</v>
      </c>
      <c r="B342" s="5" t="s">
        <v>9</v>
      </c>
      <c r="C342" s="5" t="s">
        <v>22</v>
      </c>
      <c r="D342" s="5" t="s">
        <v>11</v>
      </c>
      <c r="E342" s="5" t="s">
        <v>12</v>
      </c>
      <c r="F342" s="5">
        <v>62</v>
      </c>
      <c r="G342" s="5">
        <v>62</v>
      </c>
      <c r="H342" s="6">
        <v>63</v>
      </c>
      <c r="I342" s="5">
        <f>SUM(F342:H342)</f>
        <v>187</v>
      </c>
      <c r="J342" s="7">
        <f>AVERAGE(F342:H342)</f>
        <v>62.333333333333336</v>
      </c>
      <c r="K342" s="8">
        <f>I342/300</f>
        <v>0.62333333333333329</v>
      </c>
      <c r="L342" s="5">
        <f>_xlfn.RANK.EQ(J342,$J$2:$J$1001,0)</f>
        <v>657</v>
      </c>
    </row>
    <row r="343" spans="1:12" x14ac:dyDescent="0.3">
      <c r="A343" s="5" t="s">
        <v>17</v>
      </c>
      <c r="B343" s="5" t="s">
        <v>13</v>
      </c>
      <c r="C343" s="5" t="s">
        <v>22</v>
      </c>
      <c r="D343" s="5" t="s">
        <v>11</v>
      </c>
      <c r="E343" s="5" t="s">
        <v>12</v>
      </c>
      <c r="F343" s="5">
        <v>62</v>
      </c>
      <c r="G343" s="5">
        <v>67</v>
      </c>
      <c r="H343" s="6">
        <v>58</v>
      </c>
      <c r="I343" s="5">
        <f>SUM(F343:H343)</f>
        <v>187</v>
      </c>
      <c r="J343" s="7">
        <f>AVERAGE(F343:H343)</f>
        <v>62.333333333333336</v>
      </c>
      <c r="K343" s="8">
        <f>I343/300</f>
        <v>0.62333333333333329</v>
      </c>
      <c r="L343" s="5">
        <f>_xlfn.RANK.EQ(J343,$J$2:$J$1001,0)</f>
        <v>657</v>
      </c>
    </row>
    <row r="344" spans="1:12" x14ac:dyDescent="0.3">
      <c r="A344" s="5" t="s">
        <v>8</v>
      </c>
      <c r="B344" s="5" t="s">
        <v>9</v>
      </c>
      <c r="C344" s="5" t="s">
        <v>22</v>
      </c>
      <c r="D344" s="5" t="s">
        <v>11</v>
      </c>
      <c r="E344" s="5" t="s">
        <v>12</v>
      </c>
      <c r="F344" s="5">
        <v>58</v>
      </c>
      <c r="G344" s="5">
        <v>68</v>
      </c>
      <c r="H344" s="6">
        <v>61</v>
      </c>
      <c r="I344" s="5">
        <f>SUM(F344:H344)</f>
        <v>187</v>
      </c>
      <c r="J344" s="7">
        <f>AVERAGE(F344:H344)</f>
        <v>62.333333333333336</v>
      </c>
      <c r="K344" s="8">
        <f>I344/300</f>
        <v>0.62333333333333329</v>
      </c>
      <c r="L344" s="5">
        <f>_xlfn.RANK.EQ(J344,$J$2:$J$1001,0)</f>
        <v>657</v>
      </c>
    </row>
    <row r="345" spans="1:12" x14ac:dyDescent="0.3">
      <c r="A345" s="5" t="s">
        <v>17</v>
      </c>
      <c r="B345" s="5" t="s">
        <v>21</v>
      </c>
      <c r="C345" s="5" t="s">
        <v>14</v>
      </c>
      <c r="D345" s="5" t="s">
        <v>11</v>
      </c>
      <c r="E345" s="5" t="s">
        <v>12</v>
      </c>
      <c r="F345" s="5">
        <v>72</v>
      </c>
      <c r="G345" s="5">
        <v>57</v>
      </c>
      <c r="H345" s="6">
        <v>58</v>
      </c>
      <c r="I345" s="5">
        <f>SUM(F345:H345)</f>
        <v>187</v>
      </c>
      <c r="J345" s="7">
        <f>AVERAGE(F345:H345)</f>
        <v>62.333333333333336</v>
      </c>
      <c r="K345" s="8">
        <f>I345/300</f>
        <v>0.62333333333333329</v>
      </c>
      <c r="L345" s="5">
        <f>_xlfn.RANK.EQ(J345,$J$2:$J$1001,0)</f>
        <v>657</v>
      </c>
    </row>
    <row r="346" spans="1:12" x14ac:dyDescent="0.3">
      <c r="A346" s="5" t="s">
        <v>17</v>
      </c>
      <c r="B346" s="5" t="s">
        <v>13</v>
      </c>
      <c r="C346" s="5" t="s">
        <v>10</v>
      </c>
      <c r="D346" s="5" t="s">
        <v>20</v>
      </c>
      <c r="E346" s="5" t="s">
        <v>12</v>
      </c>
      <c r="F346" s="5">
        <v>61</v>
      </c>
      <c r="G346" s="5">
        <v>66</v>
      </c>
      <c r="H346" s="6">
        <v>61</v>
      </c>
      <c r="I346" s="5">
        <f>SUM(F346:H346)</f>
        <v>188</v>
      </c>
      <c r="J346" s="7">
        <f>AVERAGE(F346:H346)</f>
        <v>62.666666666666664</v>
      </c>
      <c r="K346" s="8">
        <f>I346/300</f>
        <v>0.62666666666666671</v>
      </c>
      <c r="L346" s="5">
        <f>_xlfn.RANK.EQ(J346,$J$2:$J$1001,0)</f>
        <v>653</v>
      </c>
    </row>
    <row r="347" spans="1:12" x14ac:dyDescent="0.3">
      <c r="A347" s="5" t="s">
        <v>8</v>
      </c>
      <c r="B347" s="5" t="s">
        <v>13</v>
      </c>
      <c r="C347" s="5" t="s">
        <v>14</v>
      </c>
      <c r="D347" s="5" t="s">
        <v>20</v>
      </c>
      <c r="E347" s="5" t="s">
        <v>15</v>
      </c>
      <c r="F347" s="5">
        <v>45</v>
      </c>
      <c r="G347" s="5">
        <v>73</v>
      </c>
      <c r="H347" s="6">
        <v>70</v>
      </c>
      <c r="I347" s="5">
        <f>SUM(F347:H347)</f>
        <v>188</v>
      </c>
      <c r="J347" s="7">
        <f>AVERAGE(F347:H347)</f>
        <v>62.666666666666664</v>
      </c>
      <c r="K347" s="8">
        <f>I347/300</f>
        <v>0.62666666666666671</v>
      </c>
      <c r="L347" s="5">
        <f>_xlfn.RANK.EQ(J347,$J$2:$J$1001,0)</f>
        <v>653</v>
      </c>
    </row>
    <row r="348" spans="1:12" x14ac:dyDescent="0.3">
      <c r="A348" s="5" t="s">
        <v>17</v>
      </c>
      <c r="B348" s="5" t="s">
        <v>9</v>
      </c>
      <c r="C348" s="5" t="s">
        <v>22</v>
      </c>
      <c r="D348" s="5" t="s">
        <v>11</v>
      </c>
      <c r="E348" s="5" t="s">
        <v>12</v>
      </c>
      <c r="F348" s="5">
        <v>60</v>
      </c>
      <c r="G348" s="5">
        <v>68</v>
      </c>
      <c r="H348" s="6">
        <v>60</v>
      </c>
      <c r="I348" s="5">
        <f>SUM(F348:H348)</f>
        <v>188</v>
      </c>
      <c r="J348" s="7">
        <f>AVERAGE(F348:H348)</f>
        <v>62.666666666666664</v>
      </c>
      <c r="K348" s="8">
        <f>I348/300</f>
        <v>0.62666666666666671</v>
      </c>
      <c r="L348" s="5">
        <f>_xlfn.RANK.EQ(J348,$J$2:$J$1001,0)</f>
        <v>653</v>
      </c>
    </row>
    <row r="349" spans="1:12" x14ac:dyDescent="0.3">
      <c r="A349" s="5" t="s">
        <v>17</v>
      </c>
      <c r="B349" s="5" t="s">
        <v>18</v>
      </c>
      <c r="C349" s="5" t="s">
        <v>22</v>
      </c>
      <c r="D349" s="5" t="s">
        <v>11</v>
      </c>
      <c r="E349" s="5" t="s">
        <v>12</v>
      </c>
      <c r="F349" s="5">
        <v>63</v>
      </c>
      <c r="G349" s="5">
        <v>63</v>
      </c>
      <c r="H349" s="6">
        <v>62</v>
      </c>
      <c r="I349" s="5">
        <f>SUM(F349:H349)</f>
        <v>188</v>
      </c>
      <c r="J349" s="7">
        <f>AVERAGE(F349:H349)</f>
        <v>62.666666666666664</v>
      </c>
      <c r="K349" s="8">
        <f>I349/300</f>
        <v>0.62666666666666671</v>
      </c>
      <c r="L349" s="5">
        <f>_xlfn.RANK.EQ(J349,$J$2:$J$1001,0)</f>
        <v>653</v>
      </c>
    </row>
    <row r="350" spans="1:12" x14ac:dyDescent="0.3">
      <c r="A350" s="5" t="s">
        <v>8</v>
      </c>
      <c r="B350" s="5" t="s">
        <v>9</v>
      </c>
      <c r="C350" s="5" t="s">
        <v>14</v>
      </c>
      <c r="D350" s="5" t="s">
        <v>11</v>
      </c>
      <c r="E350" s="5" t="s">
        <v>12</v>
      </c>
      <c r="F350" s="5">
        <v>63</v>
      </c>
      <c r="G350" s="5">
        <v>65</v>
      </c>
      <c r="H350" s="6">
        <v>61</v>
      </c>
      <c r="I350" s="5">
        <f>SUM(F350:H350)</f>
        <v>189</v>
      </c>
      <c r="J350" s="7">
        <f>AVERAGE(F350:H350)</f>
        <v>63</v>
      </c>
      <c r="K350" s="8">
        <f>I350/300</f>
        <v>0.63</v>
      </c>
      <c r="L350" s="5">
        <f>_xlfn.RANK.EQ(J350,$J$2:$J$1001,0)</f>
        <v>646</v>
      </c>
    </row>
    <row r="351" spans="1:12" x14ac:dyDescent="0.3">
      <c r="A351" s="5" t="s">
        <v>8</v>
      </c>
      <c r="B351" s="5" t="s">
        <v>13</v>
      </c>
      <c r="C351" s="5" t="s">
        <v>14</v>
      </c>
      <c r="D351" s="5" t="s">
        <v>11</v>
      </c>
      <c r="E351" s="5" t="s">
        <v>12</v>
      </c>
      <c r="F351" s="5">
        <v>55</v>
      </c>
      <c r="G351" s="5">
        <v>69</v>
      </c>
      <c r="H351" s="6">
        <v>65</v>
      </c>
      <c r="I351" s="5">
        <f>SUM(F351:H351)</f>
        <v>189</v>
      </c>
      <c r="J351" s="7">
        <f>AVERAGE(F351:H351)</f>
        <v>63</v>
      </c>
      <c r="K351" s="8">
        <f>I351/300</f>
        <v>0.63</v>
      </c>
      <c r="L351" s="5">
        <f>_xlfn.RANK.EQ(J351,$J$2:$J$1001,0)</f>
        <v>646</v>
      </c>
    </row>
    <row r="352" spans="1:12" x14ac:dyDescent="0.3">
      <c r="A352" s="5" t="s">
        <v>17</v>
      </c>
      <c r="B352" s="5" t="s">
        <v>9</v>
      </c>
      <c r="C352" s="5" t="s">
        <v>19</v>
      </c>
      <c r="D352" s="5" t="s">
        <v>20</v>
      </c>
      <c r="E352" s="5" t="s">
        <v>12</v>
      </c>
      <c r="F352" s="5">
        <v>67</v>
      </c>
      <c r="G352" s="5">
        <v>62</v>
      </c>
      <c r="H352" s="6">
        <v>60</v>
      </c>
      <c r="I352" s="5">
        <f>SUM(F352:H352)</f>
        <v>189</v>
      </c>
      <c r="J352" s="7">
        <f>AVERAGE(F352:H352)</f>
        <v>63</v>
      </c>
      <c r="K352" s="8">
        <f>I352/300</f>
        <v>0.63</v>
      </c>
      <c r="L352" s="5">
        <f>_xlfn.RANK.EQ(J352,$J$2:$J$1001,0)</f>
        <v>646</v>
      </c>
    </row>
    <row r="353" spans="1:12" x14ac:dyDescent="0.3">
      <c r="A353" s="5" t="s">
        <v>17</v>
      </c>
      <c r="B353" s="5" t="s">
        <v>21</v>
      </c>
      <c r="C353" s="5" t="s">
        <v>14</v>
      </c>
      <c r="D353" s="5" t="s">
        <v>11</v>
      </c>
      <c r="E353" s="5" t="s">
        <v>12</v>
      </c>
      <c r="F353" s="5">
        <v>68</v>
      </c>
      <c r="G353" s="5">
        <v>59</v>
      </c>
      <c r="H353" s="6">
        <v>62</v>
      </c>
      <c r="I353" s="5">
        <f>SUM(F353:H353)</f>
        <v>189</v>
      </c>
      <c r="J353" s="7">
        <f>AVERAGE(F353:H353)</f>
        <v>63</v>
      </c>
      <c r="K353" s="8">
        <f>I353/300</f>
        <v>0.63</v>
      </c>
      <c r="L353" s="5">
        <f>_xlfn.RANK.EQ(J353,$J$2:$J$1001,0)</f>
        <v>646</v>
      </c>
    </row>
    <row r="354" spans="1:12" x14ac:dyDescent="0.3">
      <c r="A354" s="5" t="s">
        <v>17</v>
      </c>
      <c r="B354" s="5" t="s">
        <v>13</v>
      </c>
      <c r="C354" s="5" t="s">
        <v>19</v>
      </c>
      <c r="D354" s="5" t="s">
        <v>20</v>
      </c>
      <c r="E354" s="5" t="s">
        <v>12</v>
      </c>
      <c r="F354" s="5">
        <v>64</v>
      </c>
      <c r="G354" s="5">
        <v>66</v>
      </c>
      <c r="H354" s="6">
        <v>59</v>
      </c>
      <c r="I354" s="5">
        <f>SUM(F354:H354)</f>
        <v>189</v>
      </c>
      <c r="J354" s="7">
        <f>AVERAGE(F354:H354)</f>
        <v>63</v>
      </c>
      <c r="K354" s="8">
        <f>I354/300</f>
        <v>0.63</v>
      </c>
      <c r="L354" s="5">
        <f>_xlfn.RANK.EQ(J354,$J$2:$J$1001,0)</f>
        <v>646</v>
      </c>
    </row>
    <row r="355" spans="1:12" x14ac:dyDescent="0.3">
      <c r="A355" s="5" t="s">
        <v>8</v>
      </c>
      <c r="B355" s="5" t="s">
        <v>21</v>
      </c>
      <c r="C355" s="5" t="s">
        <v>16</v>
      </c>
      <c r="D355" s="5" t="s">
        <v>11</v>
      </c>
      <c r="E355" s="5" t="s">
        <v>12</v>
      </c>
      <c r="F355" s="5">
        <v>55</v>
      </c>
      <c r="G355" s="5">
        <v>64</v>
      </c>
      <c r="H355" s="6">
        <v>70</v>
      </c>
      <c r="I355" s="5">
        <f>SUM(F355:H355)</f>
        <v>189</v>
      </c>
      <c r="J355" s="7">
        <f>AVERAGE(F355:H355)</f>
        <v>63</v>
      </c>
      <c r="K355" s="8">
        <f>I355/300</f>
        <v>0.63</v>
      </c>
      <c r="L355" s="5">
        <f>_xlfn.RANK.EQ(J355,$J$2:$J$1001,0)</f>
        <v>646</v>
      </c>
    </row>
    <row r="356" spans="1:12" x14ac:dyDescent="0.3">
      <c r="A356" s="5" t="s">
        <v>8</v>
      </c>
      <c r="B356" s="5" t="s">
        <v>13</v>
      </c>
      <c r="C356" s="5" t="s">
        <v>22</v>
      </c>
      <c r="D356" s="5" t="s">
        <v>20</v>
      </c>
      <c r="E356" s="5" t="s">
        <v>12</v>
      </c>
      <c r="F356" s="5">
        <v>53</v>
      </c>
      <c r="G356" s="5">
        <v>72</v>
      </c>
      <c r="H356" s="6">
        <v>64</v>
      </c>
      <c r="I356" s="5">
        <f>SUM(F356:H356)</f>
        <v>189</v>
      </c>
      <c r="J356" s="7">
        <f>AVERAGE(F356:H356)</f>
        <v>63</v>
      </c>
      <c r="K356" s="8">
        <f>I356/300</f>
        <v>0.63</v>
      </c>
      <c r="L356" s="5">
        <f>_xlfn.RANK.EQ(J356,$J$2:$J$1001,0)</f>
        <v>646</v>
      </c>
    </row>
    <row r="357" spans="1:12" x14ac:dyDescent="0.3">
      <c r="A357" s="5" t="s">
        <v>17</v>
      </c>
      <c r="B357" s="5" t="s">
        <v>9</v>
      </c>
      <c r="C357" s="5" t="s">
        <v>14</v>
      </c>
      <c r="D357" s="5" t="s">
        <v>20</v>
      </c>
      <c r="E357" s="5" t="s">
        <v>15</v>
      </c>
      <c r="F357" s="5">
        <v>59</v>
      </c>
      <c r="G357" s="5">
        <v>65</v>
      </c>
      <c r="H357" s="6">
        <v>66</v>
      </c>
      <c r="I357" s="5">
        <f>SUM(F357:H357)</f>
        <v>190</v>
      </c>
      <c r="J357" s="7">
        <f>AVERAGE(F357:H357)</f>
        <v>63.333333333333336</v>
      </c>
      <c r="K357" s="8">
        <f>I357/300</f>
        <v>0.6333333333333333</v>
      </c>
      <c r="L357" s="5">
        <f>_xlfn.RANK.EQ(J357,$J$2:$J$1001,0)</f>
        <v>641</v>
      </c>
    </row>
    <row r="358" spans="1:12" x14ac:dyDescent="0.3">
      <c r="A358" s="5" t="s">
        <v>17</v>
      </c>
      <c r="B358" s="5" t="s">
        <v>21</v>
      </c>
      <c r="C358" s="5" t="s">
        <v>23</v>
      </c>
      <c r="D358" s="5" t="s">
        <v>11</v>
      </c>
      <c r="E358" s="5" t="s">
        <v>12</v>
      </c>
      <c r="F358" s="5">
        <v>62</v>
      </c>
      <c r="G358" s="5">
        <v>67</v>
      </c>
      <c r="H358" s="6">
        <v>61</v>
      </c>
      <c r="I358" s="5">
        <f>SUM(F358:H358)</f>
        <v>190</v>
      </c>
      <c r="J358" s="7">
        <f>AVERAGE(F358:H358)</f>
        <v>63.333333333333336</v>
      </c>
      <c r="K358" s="8">
        <f>I358/300</f>
        <v>0.6333333333333333</v>
      </c>
      <c r="L358" s="5">
        <f>_xlfn.RANK.EQ(J358,$J$2:$J$1001,0)</f>
        <v>641</v>
      </c>
    </row>
    <row r="359" spans="1:12" x14ac:dyDescent="0.3">
      <c r="A359" s="5" t="s">
        <v>8</v>
      </c>
      <c r="B359" s="5" t="s">
        <v>21</v>
      </c>
      <c r="C359" s="5" t="s">
        <v>22</v>
      </c>
      <c r="D359" s="5" t="s">
        <v>11</v>
      </c>
      <c r="E359" s="5" t="s">
        <v>12</v>
      </c>
      <c r="F359" s="5">
        <v>62</v>
      </c>
      <c r="G359" s="5">
        <v>64</v>
      </c>
      <c r="H359" s="6">
        <v>64</v>
      </c>
      <c r="I359" s="5">
        <f>SUM(F359:H359)</f>
        <v>190</v>
      </c>
      <c r="J359" s="7">
        <f>AVERAGE(F359:H359)</f>
        <v>63.333333333333336</v>
      </c>
      <c r="K359" s="8">
        <f>I359/300</f>
        <v>0.6333333333333333</v>
      </c>
      <c r="L359" s="5">
        <f>_xlfn.RANK.EQ(J359,$J$2:$J$1001,0)</f>
        <v>641</v>
      </c>
    </row>
    <row r="360" spans="1:12" x14ac:dyDescent="0.3">
      <c r="A360" s="5" t="s">
        <v>8</v>
      </c>
      <c r="B360" s="5" t="s">
        <v>18</v>
      </c>
      <c r="C360" s="5" t="s">
        <v>16</v>
      </c>
      <c r="D360" s="5" t="s">
        <v>20</v>
      </c>
      <c r="E360" s="5" t="s">
        <v>12</v>
      </c>
      <c r="F360" s="5">
        <v>50</v>
      </c>
      <c r="G360" s="5">
        <v>67</v>
      </c>
      <c r="H360" s="6">
        <v>73</v>
      </c>
      <c r="I360" s="5">
        <f>SUM(F360:H360)</f>
        <v>190</v>
      </c>
      <c r="J360" s="7">
        <f>AVERAGE(F360:H360)</f>
        <v>63.333333333333336</v>
      </c>
      <c r="K360" s="8">
        <f>I360/300</f>
        <v>0.6333333333333333</v>
      </c>
      <c r="L360" s="5">
        <f>_xlfn.RANK.EQ(J360,$J$2:$J$1001,0)</f>
        <v>641</v>
      </c>
    </row>
    <row r="361" spans="1:12" x14ac:dyDescent="0.3">
      <c r="A361" s="5" t="s">
        <v>8</v>
      </c>
      <c r="B361" s="5" t="s">
        <v>24</v>
      </c>
      <c r="C361" s="5" t="s">
        <v>19</v>
      </c>
      <c r="D361" s="5" t="s">
        <v>11</v>
      </c>
      <c r="E361" s="5" t="s">
        <v>12</v>
      </c>
      <c r="F361" s="5">
        <v>59</v>
      </c>
      <c r="G361" s="5">
        <v>62</v>
      </c>
      <c r="H361" s="6">
        <v>69</v>
      </c>
      <c r="I361" s="5">
        <f>SUM(F361:H361)</f>
        <v>190</v>
      </c>
      <c r="J361" s="7">
        <f>AVERAGE(F361:H361)</f>
        <v>63.333333333333336</v>
      </c>
      <c r="K361" s="8">
        <f>I361/300</f>
        <v>0.6333333333333333</v>
      </c>
      <c r="L361" s="5">
        <f>_xlfn.RANK.EQ(J361,$J$2:$J$1001,0)</f>
        <v>641</v>
      </c>
    </row>
    <row r="362" spans="1:12" x14ac:dyDescent="0.3">
      <c r="A362" s="5" t="s">
        <v>8</v>
      </c>
      <c r="B362" s="5" t="s">
        <v>9</v>
      </c>
      <c r="C362" s="5" t="s">
        <v>19</v>
      </c>
      <c r="D362" s="5" t="s">
        <v>11</v>
      </c>
      <c r="E362" s="5" t="s">
        <v>15</v>
      </c>
      <c r="F362" s="5">
        <v>52</v>
      </c>
      <c r="G362" s="5">
        <v>66</v>
      </c>
      <c r="H362" s="6">
        <v>73</v>
      </c>
      <c r="I362" s="5">
        <f>SUM(F362:H362)</f>
        <v>191</v>
      </c>
      <c r="J362" s="7">
        <f>AVERAGE(F362:H362)</f>
        <v>63.666666666666664</v>
      </c>
      <c r="K362" s="8">
        <f>I362/300</f>
        <v>0.63666666666666671</v>
      </c>
      <c r="L362" s="5">
        <f>_xlfn.RANK.EQ(J362,$J$2:$J$1001,0)</f>
        <v>632</v>
      </c>
    </row>
    <row r="363" spans="1:12" x14ac:dyDescent="0.3">
      <c r="A363" s="5" t="s">
        <v>8</v>
      </c>
      <c r="B363" s="5" t="s">
        <v>9</v>
      </c>
      <c r="C363" s="5" t="s">
        <v>22</v>
      </c>
      <c r="D363" s="5" t="s">
        <v>11</v>
      </c>
      <c r="E363" s="5" t="s">
        <v>12</v>
      </c>
      <c r="F363" s="5">
        <v>65</v>
      </c>
      <c r="G363" s="5">
        <v>64</v>
      </c>
      <c r="H363" s="6">
        <v>62</v>
      </c>
      <c r="I363" s="5">
        <f>SUM(F363:H363)</f>
        <v>191</v>
      </c>
      <c r="J363" s="7">
        <f>AVERAGE(F363:H363)</f>
        <v>63.666666666666664</v>
      </c>
      <c r="K363" s="8">
        <f>I363/300</f>
        <v>0.63666666666666671</v>
      </c>
      <c r="L363" s="5">
        <f>_xlfn.RANK.EQ(J363,$J$2:$J$1001,0)</f>
        <v>632</v>
      </c>
    </row>
    <row r="364" spans="1:12" x14ac:dyDescent="0.3">
      <c r="A364" s="5" t="s">
        <v>8</v>
      </c>
      <c r="B364" s="5" t="s">
        <v>9</v>
      </c>
      <c r="C364" s="5" t="s">
        <v>19</v>
      </c>
      <c r="D364" s="5" t="s">
        <v>20</v>
      </c>
      <c r="E364" s="5" t="s">
        <v>12</v>
      </c>
      <c r="F364" s="5">
        <v>53</v>
      </c>
      <c r="G364" s="5">
        <v>71</v>
      </c>
      <c r="H364" s="6">
        <v>67</v>
      </c>
      <c r="I364" s="5">
        <f>SUM(F364:H364)</f>
        <v>191</v>
      </c>
      <c r="J364" s="7">
        <f>AVERAGE(F364:H364)</f>
        <v>63.666666666666664</v>
      </c>
      <c r="K364" s="8">
        <f>I364/300</f>
        <v>0.63666666666666671</v>
      </c>
      <c r="L364" s="5">
        <f>_xlfn.RANK.EQ(J364,$J$2:$J$1001,0)</f>
        <v>632</v>
      </c>
    </row>
    <row r="365" spans="1:12" x14ac:dyDescent="0.3">
      <c r="A365" s="5" t="s">
        <v>8</v>
      </c>
      <c r="B365" s="5" t="s">
        <v>13</v>
      </c>
      <c r="C365" s="5" t="s">
        <v>14</v>
      </c>
      <c r="D365" s="5" t="s">
        <v>20</v>
      </c>
      <c r="E365" s="5" t="s">
        <v>12</v>
      </c>
      <c r="F365" s="5">
        <v>62</v>
      </c>
      <c r="G365" s="5">
        <v>67</v>
      </c>
      <c r="H365" s="6">
        <v>62</v>
      </c>
      <c r="I365" s="5">
        <f>SUM(F365:H365)</f>
        <v>191</v>
      </c>
      <c r="J365" s="7">
        <f>AVERAGE(F365:H365)</f>
        <v>63.666666666666664</v>
      </c>
      <c r="K365" s="8">
        <f>I365/300</f>
        <v>0.63666666666666671</v>
      </c>
      <c r="L365" s="5">
        <f>_xlfn.RANK.EQ(J365,$J$2:$J$1001,0)</f>
        <v>632</v>
      </c>
    </row>
    <row r="366" spans="1:12" x14ac:dyDescent="0.3">
      <c r="A366" s="5" t="s">
        <v>17</v>
      </c>
      <c r="B366" s="5" t="s">
        <v>13</v>
      </c>
      <c r="C366" s="5" t="s">
        <v>22</v>
      </c>
      <c r="D366" s="5" t="s">
        <v>20</v>
      </c>
      <c r="E366" s="5" t="s">
        <v>12</v>
      </c>
      <c r="F366" s="5">
        <v>66</v>
      </c>
      <c r="G366" s="5">
        <v>66</v>
      </c>
      <c r="H366" s="6">
        <v>59</v>
      </c>
      <c r="I366" s="5">
        <f>SUM(F366:H366)</f>
        <v>191</v>
      </c>
      <c r="J366" s="7">
        <f>AVERAGE(F366:H366)</f>
        <v>63.666666666666664</v>
      </c>
      <c r="K366" s="8">
        <f>I366/300</f>
        <v>0.63666666666666671</v>
      </c>
      <c r="L366" s="5">
        <f>_xlfn.RANK.EQ(J366,$J$2:$J$1001,0)</f>
        <v>632</v>
      </c>
    </row>
    <row r="367" spans="1:12" x14ac:dyDescent="0.3">
      <c r="A367" s="5" t="s">
        <v>8</v>
      </c>
      <c r="B367" s="5" t="s">
        <v>9</v>
      </c>
      <c r="C367" s="5" t="s">
        <v>23</v>
      </c>
      <c r="D367" s="5" t="s">
        <v>20</v>
      </c>
      <c r="E367" s="5" t="s">
        <v>15</v>
      </c>
      <c r="F367" s="5">
        <v>52</v>
      </c>
      <c r="G367" s="5">
        <v>67</v>
      </c>
      <c r="H367" s="6">
        <v>72</v>
      </c>
      <c r="I367" s="5">
        <f>SUM(F367:H367)</f>
        <v>191</v>
      </c>
      <c r="J367" s="7">
        <f>AVERAGE(F367:H367)</f>
        <v>63.666666666666664</v>
      </c>
      <c r="K367" s="8">
        <f>I367/300</f>
        <v>0.63666666666666671</v>
      </c>
      <c r="L367" s="5">
        <f>_xlfn.RANK.EQ(J367,$J$2:$J$1001,0)</f>
        <v>632</v>
      </c>
    </row>
    <row r="368" spans="1:12" x14ac:dyDescent="0.3">
      <c r="A368" s="5" t="s">
        <v>17</v>
      </c>
      <c r="B368" s="5" t="s">
        <v>9</v>
      </c>
      <c r="C368" s="5" t="s">
        <v>14</v>
      </c>
      <c r="D368" s="5" t="s">
        <v>11</v>
      </c>
      <c r="E368" s="5" t="s">
        <v>12</v>
      </c>
      <c r="F368" s="5">
        <v>66</v>
      </c>
      <c r="G368" s="5">
        <v>65</v>
      </c>
      <c r="H368" s="6">
        <v>60</v>
      </c>
      <c r="I368" s="5">
        <f>SUM(F368:H368)</f>
        <v>191</v>
      </c>
      <c r="J368" s="7">
        <f>AVERAGE(F368:H368)</f>
        <v>63.666666666666664</v>
      </c>
      <c r="K368" s="8">
        <f>I368/300</f>
        <v>0.63666666666666671</v>
      </c>
      <c r="L368" s="5">
        <f>_xlfn.RANK.EQ(J368,$J$2:$J$1001,0)</f>
        <v>632</v>
      </c>
    </row>
    <row r="369" spans="1:12" x14ac:dyDescent="0.3">
      <c r="A369" s="5" t="s">
        <v>17</v>
      </c>
      <c r="B369" s="5" t="s">
        <v>21</v>
      </c>
      <c r="C369" s="5" t="s">
        <v>14</v>
      </c>
      <c r="D369" s="5" t="s">
        <v>20</v>
      </c>
      <c r="E369" s="5" t="s">
        <v>12</v>
      </c>
      <c r="F369" s="5">
        <v>70</v>
      </c>
      <c r="G369" s="5">
        <v>63</v>
      </c>
      <c r="H369" s="6">
        <v>58</v>
      </c>
      <c r="I369" s="5">
        <f>SUM(F369:H369)</f>
        <v>191</v>
      </c>
      <c r="J369" s="7">
        <f>AVERAGE(F369:H369)</f>
        <v>63.666666666666664</v>
      </c>
      <c r="K369" s="8">
        <f>I369/300</f>
        <v>0.63666666666666671</v>
      </c>
      <c r="L369" s="5">
        <f>_xlfn.RANK.EQ(J369,$J$2:$J$1001,0)</f>
        <v>632</v>
      </c>
    </row>
    <row r="370" spans="1:12" x14ac:dyDescent="0.3">
      <c r="A370" s="5" t="s">
        <v>17</v>
      </c>
      <c r="B370" s="5" t="s">
        <v>24</v>
      </c>
      <c r="C370" s="5" t="s">
        <v>19</v>
      </c>
      <c r="D370" s="5" t="s">
        <v>11</v>
      </c>
      <c r="E370" s="5" t="s">
        <v>12</v>
      </c>
      <c r="F370" s="5">
        <v>72</v>
      </c>
      <c r="G370" s="5">
        <v>57</v>
      </c>
      <c r="H370" s="6">
        <v>62</v>
      </c>
      <c r="I370" s="5">
        <f>SUM(F370:H370)</f>
        <v>191</v>
      </c>
      <c r="J370" s="7">
        <f>AVERAGE(F370:H370)</f>
        <v>63.666666666666664</v>
      </c>
      <c r="K370" s="8">
        <f>I370/300</f>
        <v>0.63666666666666671</v>
      </c>
      <c r="L370" s="5">
        <f>_xlfn.RANK.EQ(J370,$J$2:$J$1001,0)</f>
        <v>632</v>
      </c>
    </row>
    <row r="371" spans="1:12" x14ac:dyDescent="0.3">
      <c r="A371" s="5" t="s">
        <v>17</v>
      </c>
      <c r="B371" s="5" t="s">
        <v>9</v>
      </c>
      <c r="C371" s="5" t="s">
        <v>23</v>
      </c>
      <c r="D371" s="5" t="s">
        <v>11</v>
      </c>
      <c r="E371" s="5" t="s">
        <v>12</v>
      </c>
      <c r="F371" s="5">
        <v>67</v>
      </c>
      <c r="G371" s="5">
        <v>64</v>
      </c>
      <c r="H371" s="6">
        <v>61</v>
      </c>
      <c r="I371" s="5">
        <f>SUM(F371:H371)</f>
        <v>192</v>
      </c>
      <c r="J371" s="7">
        <f>AVERAGE(F371:H371)</f>
        <v>64</v>
      </c>
      <c r="K371" s="8">
        <f>I371/300</f>
        <v>0.64</v>
      </c>
      <c r="L371" s="5">
        <f>_xlfn.RANK.EQ(J371,$J$2:$J$1001,0)</f>
        <v>623</v>
      </c>
    </row>
    <row r="372" spans="1:12" x14ac:dyDescent="0.3">
      <c r="A372" s="5" t="s">
        <v>8</v>
      </c>
      <c r="B372" s="5" t="s">
        <v>13</v>
      </c>
      <c r="C372" s="5" t="s">
        <v>19</v>
      </c>
      <c r="D372" s="5" t="s">
        <v>11</v>
      </c>
      <c r="E372" s="5" t="s">
        <v>12</v>
      </c>
      <c r="F372" s="5">
        <v>59</v>
      </c>
      <c r="G372" s="5">
        <v>66</v>
      </c>
      <c r="H372" s="6">
        <v>67</v>
      </c>
      <c r="I372" s="5">
        <f>SUM(F372:H372)</f>
        <v>192</v>
      </c>
      <c r="J372" s="7">
        <f>AVERAGE(F372:H372)</f>
        <v>64</v>
      </c>
      <c r="K372" s="8">
        <f>I372/300</f>
        <v>0.64</v>
      </c>
      <c r="L372" s="5">
        <f>_xlfn.RANK.EQ(J372,$J$2:$J$1001,0)</f>
        <v>623</v>
      </c>
    </row>
    <row r="373" spans="1:12" x14ac:dyDescent="0.3">
      <c r="A373" s="5" t="s">
        <v>17</v>
      </c>
      <c r="B373" s="5" t="s">
        <v>21</v>
      </c>
      <c r="C373" s="5" t="s">
        <v>19</v>
      </c>
      <c r="D373" s="5" t="s">
        <v>20</v>
      </c>
      <c r="E373" s="5" t="s">
        <v>12</v>
      </c>
      <c r="F373" s="5">
        <v>66</v>
      </c>
      <c r="G373" s="5">
        <v>62</v>
      </c>
      <c r="H373" s="6">
        <v>64</v>
      </c>
      <c r="I373" s="5">
        <f>SUM(F373:H373)</f>
        <v>192</v>
      </c>
      <c r="J373" s="7">
        <f>AVERAGE(F373:H373)</f>
        <v>64</v>
      </c>
      <c r="K373" s="8">
        <f>I373/300</f>
        <v>0.64</v>
      </c>
      <c r="L373" s="5">
        <f>_xlfn.RANK.EQ(J373,$J$2:$J$1001,0)</f>
        <v>623</v>
      </c>
    </row>
    <row r="374" spans="1:12" x14ac:dyDescent="0.3">
      <c r="A374" s="5" t="s">
        <v>8</v>
      </c>
      <c r="B374" s="5" t="s">
        <v>9</v>
      </c>
      <c r="C374" s="5" t="s">
        <v>23</v>
      </c>
      <c r="D374" s="5" t="s">
        <v>11</v>
      </c>
      <c r="E374" s="5" t="s">
        <v>12</v>
      </c>
      <c r="F374" s="5">
        <v>62</v>
      </c>
      <c r="G374" s="5">
        <v>64</v>
      </c>
      <c r="H374" s="6">
        <v>66</v>
      </c>
      <c r="I374" s="5">
        <f>SUM(F374:H374)</f>
        <v>192</v>
      </c>
      <c r="J374" s="7">
        <f>AVERAGE(F374:H374)</f>
        <v>64</v>
      </c>
      <c r="K374" s="8">
        <f>I374/300</f>
        <v>0.64</v>
      </c>
      <c r="L374" s="5">
        <f>_xlfn.RANK.EQ(J374,$J$2:$J$1001,0)</f>
        <v>623</v>
      </c>
    </row>
    <row r="375" spans="1:12" x14ac:dyDescent="0.3">
      <c r="A375" s="5" t="s">
        <v>17</v>
      </c>
      <c r="B375" s="5" t="s">
        <v>13</v>
      </c>
      <c r="C375" s="5" t="s">
        <v>22</v>
      </c>
      <c r="D375" s="5" t="s">
        <v>11</v>
      </c>
      <c r="E375" s="5" t="s">
        <v>12</v>
      </c>
      <c r="F375" s="5">
        <v>71</v>
      </c>
      <c r="G375" s="5">
        <v>60</v>
      </c>
      <c r="H375" s="6">
        <v>61</v>
      </c>
      <c r="I375" s="5">
        <f>SUM(F375:H375)</f>
        <v>192</v>
      </c>
      <c r="J375" s="7">
        <f>AVERAGE(F375:H375)</f>
        <v>64</v>
      </c>
      <c r="K375" s="8">
        <f>I375/300</f>
        <v>0.64</v>
      </c>
      <c r="L375" s="5">
        <f>_xlfn.RANK.EQ(J375,$J$2:$J$1001,0)</f>
        <v>623</v>
      </c>
    </row>
    <row r="376" spans="1:12" x14ac:dyDescent="0.3">
      <c r="A376" s="5" t="s">
        <v>17</v>
      </c>
      <c r="B376" s="5" t="s">
        <v>18</v>
      </c>
      <c r="C376" s="5" t="s">
        <v>10</v>
      </c>
      <c r="D376" s="5" t="s">
        <v>11</v>
      </c>
      <c r="E376" s="5" t="s">
        <v>12</v>
      </c>
      <c r="F376" s="5">
        <v>66</v>
      </c>
      <c r="G376" s="5">
        <v>64</v>
      </c>
      <c r="H376" s="6">
        <v>62</v>
      </c>
      <c r="I376" s="5">
        <f>SUM(F376:H376)</f>
        <v>192</v>
      </c>
      <c r="J376" s="7">
        <f>AVERAGE(F376:H376)</f>
        <v>64</v>
      </c>
      <c r="K376" s="8">
        <f>I376/300</f>
        <v>0.64</v>
      </c>
      <c r="L376" s="5">
        <f>_xlfn.RANK.EQ(J376,$J$2:$J$1001,0)</f>
        <v>623</v>
      </c>
    </row>
    <row r="377" spans="1:12" x14ac:dyDescent="0.3">
      <c r="A377" s="5" t="s">
        <v>17</v>
      </c>
      <c r="B377" s="5" t="s">
        <v>21</v>
      </c>
      <c r="C377" s="5" t="s">
        <v>14</v>
      </c>
      <c r="D377" s="5" t="s">
        <v>20</v>
      </c>
      <c r="E377" s="5" t="s">
        <v>15</v>
      </c>
      <c r="F377" s="5">
        <v>69</v>
      </c>
      <c r="G377" s="5">
        <v>60</v>
      </c>
      <c r="H377" s="6">
        <v>63</v>
      </c>
      <c r="I377" s="5">
        <f>SUM(F377:H377)</f>
        <v>192</v>
      </c>
      <c r="J377" s="7">
        <f>AVERAGE(F377:H377)</f>
        <v>64</v>
      </c>
      <c r="K377" s="8">
        <f>I377/300</f>
        <v>0.64</v>
      </c>
      <c r="L377" s="5">
        <f>_xlfn.RANK.EQ(J377,$J$2:$J$1001,0)</f>
        <v>623</v>
      </c>
    </row>
    <row r="378" spans="1:12" x14ac:dyDescent="0.3">
      <c r="A378" s="5" t="s">
        <v>8</v>
      </c>
      <c r="B378" s="5" t="s">
        <v>9</v>
      </c>
      <c r="C378" s="5" t="s">
        <v>14</v>
      </c>
      <c r="D378" s="5" t="s">
        <v>20</v>
      </c>
      <c r="E378" s="5" t="s">
        <v>15</v>
      </c>
      <c r="F378" s="5">
        <v>53</v>
      </c>
      <c r="G378" s="5">
        <v>66</v>
      </c>
      <c r="H378" s="6">
        <v>73</v>
      </c>
      <c r="I378" s="5">
        <f>SUM(F378:H378)</f>
        <v>192</v>
      </c>
      <c r="J378" s="7">
        <f>AVERAGE(F378:H378)</f>
        <v>64</v>
      </c>
      <c r="K378" s="8">
        <f>I378/300</f>
        <v>0.64</v>
      </c>
      <c r="L378" s="5">
        <f>_xlfn.RANK.EQ(J378,$J$2:$J$1001,0)</f>
        <v>623</v>
      </c>
    </row>
    <row r="379" spans="1:12" x14ac:dyDescent="0.3">
      <c r="A379" s="5" t="s">
        <v>8</v>
      </c>
      <c r="B379" s="5" t="s">
        <v>18</v>
      </c>
      <c r="C379" s="5" t="s">
        <v>22</v>
      </c>
      <c r="D379" s="5" t="s">
        <v>11</v>
      </c>
      <c r="E379" s="5" t="s">
        <v>12</v>
      </c>
      <c r="F379" s="5">
        <v>61</v>
      </c>
      <c r="G379" s="5">
        <v>68</v>
      </c>
      <c r="H379" s="6">
        <v>63</v>
      </c>
      <c r="I379" s="5">
        <f>SUM(F379:H379)</f>
        <v>192</v>
      </c>
      <c r="J379" s="7">
        <f>AVERAGE(F379:H379)</f>
        <v>64</v>
      </c>
      <c r="K379" s="8">
        <f>I379/300</f>
        <v>0.64</v>
      </c>
      <c r="L379" s="5">
        <f>_xlfn.RANK.EQ(J379,$J$2:$J$1001,0)</f>
        <v>623</v>
      </c>
    </row>
    <row r="380" spans="1:12" x14ac:dyDescent="0.3">
      <c r="A380" s="5" t="s">
        <v>8</v>
      </c>
      <c r="B380" s="5" t="s">
        <v>24</v>
      </c>
      <c r="C380" s="5" t="s">
        <v>16</v>
      </c>
      <c r="D380" s="5" t="s">
        <v>20</v>
      </c>
      <c r="E380" s="5" t="s">
        <v>12</v>
      </c>
      <c r="F380" s="5">
        <v>56</v>
      </c>
      <c r="G380" s="5">
        <v>72</v>
      </c>
      <c r="H380" s="6">
        <v>65</v>
      </c>
      <c r="I380" s="5">
        <f>SUM(F380:H380)</f>
        <v>193</v>
      </c>
      <c r="J380" s="7">
        <f>AVERAGE(F380:H380)</f>
        <v>64.333333333333329</v>
      </c>
      <c r="K380" s="8">
        <f>I380/300</f>
        <v>0.64333333333333331</v>
      </c>
      <c r="L380" s="5">
        <f>_xlfn.RANK.EQ(J380,$J$2:$J$1001,0)</f>
        <v>613</v>
      </c>
    </row>
    <row r="381" spans="1:12" x14ac:dyDescent="0.3">
      <c r="A381" s="5" t="s">
        <v>17</v>
      </c>
      <c r="B381" s="5" t="s">
        <v>9</v>
      </c>
      <c r="C381" s="5" t="s">
        <v>23</v>
      </c>
      <c r="D381" s="5" t="s">
        <v>11</v>
      </c>
      <c r="E381" s="5" t="s">
        <v>15</v>
      </c>
      <c r="F381" s="5">
        <v>65</v>
      </c>
      <c r="G381" s="5">
        <v>66</v>
      </c>
      <c r="H381" s="6">
        <v>62</v>
      </c>
      <c r="I381" s="5">
        <f>SUM(F381:H381)</f>
        <v>193</v>
      </c>
      <c r="J381" s="7">
        <f>AVERAGE(F381:H381)</f>
        <v>64.333333333333329</v>
      </c>
      <c r="K381" s="8">
        <f>I381/300</f>
        <v>0.64333333333333331</v>
      </c>
      <c r="L381" s="5">
        <f>_xlfn.RANK.EQ(J381,$J$2:$J$1001,0)</f>
        <v>613</v>
      </c>
    </row>
    <row r="382" spans="1:12" x14ac:dyDescent="0.3">
      <c r="A382" s="5" t="s">
        <v>17</v>
      </c>
      <c r="B382" s="5" t="s">
        <v>24</v>
      </c>
      <c r="C382" s="5" t="s">
        <v>19</v>
      </c>
      <c r="D382" s="5" t="s">
        <v>11</v>
      </c>
      <c r="E382" s="5" t="s">
        <v>15</v>
      </c>
      <c r="F382" s="5">
        <v>66</v>
      </c>
      <c r="G382" s="5">
        <v>63</v>
      </c>
      <c r="H382" s="6">
        <v>64</v>
      </c>
      <c r="I382" s="5">
        <f>SUM(F382:H382)</f>
        <v>193</v>
      </c>
      <c r="J382" s="7">
        <f>AVERAGE(F382:H382)</f>
        <v>64.333333333333329</v>
      </c>
      <c r="K382" s="8">
        <f>I382/300</f>
        <v>0.64333333333333331</v>
      </c>
      <c r="L382" s="5">
        <f>_xlfn.RANK.EQ(J382,$J$2:$J$1001,0)</f>
        <v>613</v>
      </c>
    </row>
    <row r="383" spans="1:12" x14ac:dyDescent="0.3">
      <c r="A383" s="5" t="s">
        <v>17</v>
      </c>
      <c r="B383" s="5" t="s">
        <v>13</v>
      </c>
      <c r="C383" s="5" t="s">
        <v>23</v>
      </c>
      <c r="D383" s="5" t="s">
        <v>20</v>
      </c>
      <c r="E383" s="5" t="s">
        <v>15</v>
      </c>
      <c r="F383" s="5">
        <v>59</v>
      </c>
      <c r="G383" s="5">
        <v>69</v>
      </c>
      <c r="H383" s="6">
        <v>65</v>
      </c>
      <c r="I383" s="5">
        <f>SUM(F383:H383)</f>
        <v>193</v>
      </c>
      <c r="J383" s="7">
        <f>AVERAGE(F383:H383)</f>
        <v>64.333333333333329</v>
      </c>
      <c r="K383" s="8">
        <f>I383/300</f>
        <v>0.64333333333333331</v>
      </c>
      <c r="L383" s="5">
        <f>_xlfn.RANK.EQ(J383,$J$2:$J$1001,0)</f>
        <v>613</v>
      </c>
    </row>
    <row r="384" spans="1:12" x14ac:dyDescent="0.3">
      <c r="A384" s="5" t="s">
        <v>17</v>
      </c>
      <c r="B384" s="5" t="s">
        <v>13</v>
      </c>
      <c r="C384" s="5" t="s">
        <v>10</v>
      </c>
      <c r="D384" s="5" t="s">
        <v>11</v>
      </c>
      <c r="E384" s="5" t="s">
        <v>12</v>
      </c>
      <c r="F384" s="5">
        <v>69</v>
      </c>
      <c r="G384" s="5">
        <v>63</v>
      </c>
      <c r="H384" s="6">
        <v>61</v>
      </c>
      <c r="I384" s="5">
        <f>SUM(F384:H384)</f>
        <v>193</v>
      </c>
      <c r="J384" s="7">
        <f>AVERAGE(F384:H384)</f>
        <v>64.333333333333329</v>
      </c>
      <c r="K384" s="8">
        <f>I384/300</f>
        <v>0.64333333333333331</v>
      </c>
      <c r="L384" s="5">
        <f>_xlfn.RANK.EQ(J384,$J$2:$J$1001,0)</f>
        <v>613</v>
      </c>
    </row>
    <row r="385" spans="1:12" x14ac:dyDescent="0.3">
      <c r="A385" s="5" t="s">
        <v>17</v>
      </c>
      <c r="B385" s="5" t="s">
        <v>9</v>
      </c>
      <c r="C385" s="5" t="s">
        <v>19</v>
      </c>
      <c r="D385" s="5" t="s">
        <v>11</v>
      </c>
      <c r="E385" s="5" t="s">
        <v>15</v>
      </c>
      <c r="F385" s="5">
        <v>65</v>
      </c>
      <c r="G385" s="5">
        <v>65</v>
      </c>
      <c r="H385" s="6">
        <v>63</v>
      </c>
      <c r="I385" s="5">
        <f>SUM(F385:H385)</f>
        <v>193</v>
      </c>
      <c r="J385" s="7">
        <f>AVERAGE(F385:H385)</f>
        <v>64.333333333333329</v>
      </c>
      <c r="K385" s="8">
        <f>I385/300</f>
        <v>0.64333333333333331</v>
      </c>
      <c r="L385" s="5">
        <f>_xlfn.RANK.EQ(J385,$J$2:$J$1001,0)</f>
        <v>613</v>
      </c>
    </row>
    <row r="386" spans="1:12" x14ac:dyDescent="0.3">
      <c r="A386" s="5" t="s">
        <v>8</v>
      </c>
      <c r="B386" s="5" t="s">
        <v>21</v>
      </c>
      <c r="C386" s="5" t="s">
        <v>16</v>
      </c>
      <c r="D386" s="5" t="s">
        <v>11</v>
      </c>
      <c r="E386" s="5" t="s">
        <v>12</v>
      </c>
      <c r="F386" s="5">
        <v>64</v>
      </c>
      <c r="G386" s="5">
        <v>63</v>
      </c>
      <c r="H386" s="6">
        <v>66</v>
      </c>
      <c r="I386" s="5">
        <f>SUM(F386:H386)</f>
        <v>193</v>
      </c>
      <c r="J386" s="7">
        <f>AVERAGE(F386:H386)</f>
        <v>64.333333333333329</v>
      </c>
      <c r="K386" s="8">
        <f>I386/300</f>
        <v>0.64333333333333331</v>
      </c>
      <c r="L386" s="5">
        <f>_xlfn.RANK.EQ(J386,$J$2:$J$1001,0)</f>
        <v>613</v>
      </c>
    </row>
    <row r="387" spans="1:12" x14ac:dyDescent="0.3">
      <c r="A387" s="5" t="s">
        <v>8</v>
      </c>
      <c r="B387" s="5" t="s">
        <v>13</v>
      </c>
      <c r="C387" s="5" t="s">
        <v>22</v>
      </c>
      <c r="D387" s="5" t="s">
        <v>20</v>
      </c>
      <c r="E387" s="5" t="s">
        <v>12</v>
      </c>
      <c r="F387" s="5">
        <v>62</v>
      </c>
      <c r="G387" s="5">
        <v>67</v>
      </c>
      <c r="H387" s="6">
        <v>64</v>
      </c>
      <c r="I387" s="5">
        <f>SUM(F387:H387)</f>
        <v>193</v>
      </c>
      <c r="J387" s="7">
        <f>AVERAGE(F387:H387)</f>
        <v>64.333333333333329</v>
      </c>
      <c r="K387" s="8">
        <f>I387/300</f>
        <v>0.64333333333333331</v>
      </c>
      <c r="L387" s="5">
        <f>_xlfn.RANK.EQ(J387,$J$2:$J$1001,0)</f>
        <v>613</v>
      </c>
    </row>
    <row r="388" spans="1:12" x14ac:dyDescent="0.3">
      <c r="A388" s="5" t="s">
        <v>8</v>
      </c>
      <c r="B388" s="5" t="s">
        <v>9</v>
      </c>
      <c r="C388" s="5" t="s">
        <v>19</v>
      </c>
      <c r="D388" s="5" t="s">
        <v>20</v>
      </c>
      <c r="E388" s="5" t="s">
        <v>12</v>
      </c>
      <c r="F388" s="5">
        <v>53</v>
      </c>
      <c r="G388" s="5">
        <v>70</v>
      </c>
      <c r="H388" s="6">
        <v>70</v>
      </c>
      <c r="I388" s="5">
        <f>SUM(F388:H388)</f>
        <v>193</v>
      </c>
      <c r="J388" s="7">
        <f>AVERAGE(F388:H388)</f>
        <v>64.333333333333329</v>
      </c>
      <c r="K388" s="8">
        <f>I388/300</f>
        <v>0.64333333333333331</v>
      </c>
      <c r="L388" s="5">
        <f>_xlfn.RANK.EQ(J388,$J$2:$J$1001,0)</f>
        <v>613</v>
      </c>
    </row>
    <row r="389" spans="1:12" x14ac:dyDescent="0.3">
      <c r="A389" s="5" t="s">
        <v>17</v>
      </c>
      <c r="B389" s="5" t="s">
        <v>13</v>
      </c>
      <c r="C389" s="5" t="s">
        <v>10</v>
      </c>
      <c r="D389" s="5" t="s">
        <v>11</v>
      </c>
      <c r="E389" s="5" t="s">
        <v>15</v>
      </c>
      <c r="F389" s="5">
        <v>63</v>
      </c>
      <c r="G389" s="5">
        <v>64</v>
      </c>
      <c r="H389" s="6">
        <v>66</v>
      </c>
      <c r="I389" s="5">
        <f>SUM(F389:H389)</f>
        <v>193</v>
      </c>
      <c r="J389" s="7">
        <f>AVERAGE(F389:H389)</f>
        <v>64.333333333333329</v>
      </c>
      <c r="K389" s="8">
        <f>I389/300</f>
        <v>0.64333333333333331</v>
      </c>
      <c r="L389" s="5">
        <f>_xlfn.RANK.EQ(J389,$J$2:$J$1001,0)</f>
        <v>613</v>
      </c>
    </row>
    <row r="390" spans="1:12" x14ac:dyDescent="0.3">
      <c r="A390" s="5" t="s">
        <v>8</v>
      </c>
      <c r="B390" s="5" t="s">
        <v>21</v>
      </c>
      <c r="C390" s="5" t="s">
        <v>14</v>
      </c>
      <c r="D390" s="5" t="s">
        <v>20</v>
      </c>
      <c r="E390" s="5" t="s">
        <v>15</v>
      </c>
      <c r="F390" s="5">
        <v>58</v>
      </c>
      <c r="G390" s="5">
        <v>63</v>
      </c>
      <c r="H390" s="6">
        <v>73</v>
      </c>
      <c r="I390" s="5">
        <f>SUM(F390:H390)</f>
        <v>194</v>
      </c>
      <c r="J390" s="7">
        <f>AVERAGE(F390:H390)</f>
        <v>64.666666666666671</v>
      </c>
      <c r="K390" s="8">
        <f>I390/300</f>
        <v>0.64666666666666661</v>
      </c>
      <c r="L390" s="5">
        <f>_xlfn.RANK.EQ(J390,$J$2:$J$1001,0)</f>
        <v>602</v>
      </c>
    </row>
    <row r="391" spans="1:12" x14ac:dyDescent="0.3">
      <c r="A391" s="5" t="s">
        <v>8</v>
      </c>
      <c r="B391" s="5" t="s">
        <v>21</v>
      </c>
      <c r="C391" s="5" t="s">
        <v>10</v>
      </c>
      <c r="D391" s="5" t="s">
        <v>11</v>
      </c>
      <c r="E391" s="5" t="s">
        <v>12</v>
      </c>
      <c r="F391" s="5">
        <v>65</v>
      </c>
      <c r="G391" s="5">
        <v>67</v>
      </c>
      <c r="H391" s="6">
        <v>62</v>
      </c>
      <c r="I391" s="5">
        <f>SUM(F391:H391)</f>
        <v>194</v>
      </c>
      <c r="J391" s="7">
        <f>AVERAGE(F391:H391)</f>
        <v>64.666666666666671</v>
      </c>
      <c r="K391" s="8">
        <f>I391/300</f>
        <v>0.64666666666666661</v>
      </c>
      <c r="L391" s="5">
        <f>_xlfn.RANK.EQ(J391,$J$2:$J$1001,0)</f>
        <v>602</v>
      </c>
    </row>
    <row r="392" spans="1:12" x14ac:dyDescent="0.3">
      <c r="A392" s="5" t="s">
        <v>8</v>
      </c>
      <c r="B392" s="5" t="s">
        <v>9</v>
      </c>
      <c r="C392" s="5" t="s">
        <v>19</v>
      </c>
      <c r="D392" s="5" t="s">
        <v>11</v>
      </c>
      <c r="E392" s="5" t="s">
        <v>12</v>
      </c>
      <c r="F392" s="5">
        <v>57</v>
      </c>
      <c r="G392" s="5">
        <v>69</v>
      </c>
      <c r="H392" s="6">
        <v>68</v>
      </c>
      <c r="I392" s="5">
        <f>SUM(F392:H392)</f>
        <v>194</v>
      </c>
      <c r="J392" s="7">
        <f>AVERAGE(F392:H392)</f>
        <v>64.666666666666671</v>
      </c>
      <c r="K392" s="8">
        <f>I392/300</f>
        <v>0.64666666666666661</v>
      </c>
      <c r="L392" s="5">
        <f>_xlfn.RANK.EQ(J392,$J$2:$J$1001,0)</f>
        <v>602</v>
      </c>
    </row>
    <row r="393" spans="1:12" x14ac:dyDescent="0.3">
      <c r="A393" s="5" t="s">
        <v>17</v>
      </c>
      <c r="B393" s="5" t="s">
        <v>9</v>
      </c>
      <c r="C393" s="5" t="s">
        <v>23</v>
      </c>
      <c r="D393" s="5" t="s">
        <v>11</v>
      </c>
      <c r="E393" s="5" t="s">
        <v>12</v>
      </c>
      <c r="F393" s="5">
        <v>74</v>
      </c>
      <c r="G393" s="5">
        <v>63</v>
      </c>
      <c r="H393" s="6">
        <v>57</v>
      </c>
      <c r="I393" s="5">
        <f>SUM(F393:H393)</f>
        <v>194</v>
      </c>
      <c r="J393" s="7">
        <f>AVERAGE(F393:H393)</f>
        <v>64.666666666666671</v>
      </c>
      <c r="K393" s="8">
        <f>I393/300</f>
        <v>0.64666666666666661</v>
      </c>
      <c r="L393" s="5">
        <f>_xlfn.RANK.EQ(J393,$J$2:$J$1001,0)</f>
        <v>602</v>
      </c>
    </row>
    <row r="394" spans="1:12" x14ac:dyDescent="0.3">
      <c r="A394" s="5" t="s">
        <v>17</v>
      </c>
      <c r="B394" s="5" t="s">
        <v>13</v>
      </c>
      <c r="C394" s="5" t="s">
        <v>16</v>
      </c>
      <c r="D394" s="5" t="s">
        <v>20</v>
      </c>
      <c r="E394" s="5" t="s">
        <v>12</v>
      </c>
      <c r="F394" s="5">
        <v>61</v>
      </c>
      <c r="G394" s="5">
        <v>67</v>
      </c>
      <c r="H394" s="6">
        <v>66</v>
      </c>
      <c r="I394" s="5">
        <f>SUM(F394:H394)</f>
        <v>194</v>
      </c>
      <c r="J394" s="7">
        <f>AVERAGE(F394:H394)</f>
        <v>64.666666666666671</v>
      </c>
      <c r="K394" s="8">
        <f>I394/300</f>
        <v>0.64666666666666661</v>
      </c>
      <c r="L394" s="5">
        <f>_xlfn.RANK.EQ(J394,$J$2:$J$1001,0)</f>
        <v>602</v>
      </c>
    </row>
    <row r="395" spans="1:12" x14ac:dyDescent="0.3">
      <c r="A395" s="5" t="s">
        <v>8</v>
      </c>
      <c r="B395" s="5" t="s">
        <v>21</v>
      </c>
      <c r="C395" s="5" t="s">
        <v>19</v>
      </c>
      <c r="D395" s="5" t="s">
        <v>11</v>
      </c>
      <c r="E395" s="5" t="s">
        <v>12</v>
      </c>
      <c r="F395" s="5">
        <v>59</v>
      </c>
      <c r="G395" s="5">
        <v>70</v>
      </c>
      <c r="H395" s="6">
        <v>65</v>
      </c>
      <c r="I395" s="5">
        <f>SUM(F395:H395)</f>
        <v>194</v>
      </c>
      <c r="J395" s="7">
        <f>AVERAGE(F395:H395)</f>
        <v>64.666666666666671</v>
      </c>
      <c r="K395" s="8">
        <f>I395/300</f>
        <v>0.64666666666666661</v>
      </c>
      <c r="L395" s="5">
        <f>_xlfn.RANK.EQ(J395,$J$2:$J$1001,0)</f>
        <v>602</v>
      </c>
    </row>
    <row r="396" spans="1:12" x14ac:dyDescent="0.3">
      <c r="A396" s="5" t="s">
        <v>8</v>
      </c>
      <c r="B396" s="5" t="s">
        <v>24</v>
      </c>
      <c r="C396" s="5" t="s">
        <v>22</v>
      </c>
      <c r="D396" s="5" t="s">
        <v>20</v>
      </c>
      <c r="E396" s="5" t="s">
        <v>12</v>
      </c>
      <c r="F396" s="5">
        <v>64</v>
      </c>
      <c r="G396" s="5">
        <v>62</v>
      </c>
      <c r="H396" s="6">
        <v>68</v>
      </c>
      <c r="I396" s="5">
        <f>SUM(F396:H396)</f>
        <v>194</v>
      </c>
      <c r="J396" s="7">
        <f>AVERAGE(F396:H396)</f>
        <v>64.666666666666671</v>
      </c>
      <c r="K396" s="8">
        <f>I396/300</f>
        <v>0.64666666666666661</v>
      </c>
      <c r="L396" s="5">
        <f>_xlfn.RANK.EQ(J396,$J$2:$J$1001,0)</f>
        <v>602</v>
      </c>
    </row>
    <row r="397" spans="1:12" x14ac:dyDescent="0.3">
      <c r="A397" s="5" t="s">
        <v>8</v>
      </c>
      <c r="B397" s="5" t="s">
        <v>21</v>
      </c>
      <c r="C397" s="5" t="s">
        <v>14</v>
      </c>
      <c r="D397" s="5" t="s">
        <v>11</v>
      </c>
      <c r="E397" s="5" t="s">
        <v>12</v>
      </c>
      <c r="F397" s="5">
        <v>63</v>
      </c>
      <c r="G397" s="5">
        <v>64</v>
      </c>
      <c r="H397" s="6">
        <v>67</v>
      </c>
      <c r="I397" s="5">
        <f>SUM(F397:H397)</f>
        <v>194</v>
      </c>
      <c r="J397" s="7">
        <f>AVERAGE(F397:H397)</f>
        <v>64.666666666666671</v>
      </c>
      <c r="K397" s="8">
        <f>I397/300</f>
        <v>0.64666666666666661</v>
      </c>
      <c r="L397" s="5">
        <f>_xlfn.RANK.EQ(J397,$J$2:$J$1001,0)</f>
        <v>602</v>
      </c>
    </row>
    <row r="398" spans="1:12" x14ac:dyDescent="0.3">
      <c r="A398" s="5" t="s">
        <v>17</v>
      </c>
      <c r="B398" s="5" t="s">
        <v>13</v>
      </c>
      <c r="C398" s="5" t="s">
        <v>19</v>
      </c>
      <c r="D398" s="5" t="s">
        <v>20</v>
      </c>
      <c r="E398" s="5" t="s">
        <v>12</v>
      </c>
      <c r="F398" s="5">
        <v>68</v>
      </c>
      <c r="G398" s="5">
        <v>65</v>
      </c>
      <c r="H398" s="6">
        <v>61</v>
      </c>
      <c r="I398" s="5">
        <f>SUM(F398:H398)</f>
        <v>194</v>
      </c>
      <c r="J398" s="7">
        <f>AVERAGE(F398:H398)</f>
        <v>64.666666666666671</v>
      </c>
      <c r="K398" s="8">
        <f>I398/300</f>
        <v>0.64666666666666661</v>
      </c>
      <c r="L398" s="5">
        <f>_xlfn.RANK.EQ(J398,$J$2:$J$1001,0)</f>
        <v>602</v>
      </c>
    </row>
    <row r="399" spans="1:12" x14ac:dyDescent="0.3">
      <c r="A399" s="5" t="s">
        <v>8</v>
      </c>
      <c r="B399" s="5" t="s">
        <v>13</v>
      </c>
      <c r="C399" s="5" t="s">
        <v>19</v>
      </c>
      <c r="D399" s="5" t="s">
        <v>20</v>
      </c>
      <c r="E399" s="5" t="s">
        <v>15</v>
      </c>
      <c r="F399" s="5">
        <v>56</v>
      </c>
      <c r="G399" s="5">
        <v>68</v>
      </c>
      <c r="H399" s="6">
        <v>70</v>
      </c>
      <c r="I399" s="5">
        <f>SUM(F399:H399)</f>
        <v>194</v>
      </c>
      <c r="J399" s="7">
        <f>AVERAGE(F399:H399)</f>
        <v>64.666666666666671</v>
      </c>
      <c r="K399" s="8">
        <f>I399/300</f>
        <v>0.64666666666666661</v>
      </c>
      <c r="L399" s="5">
        <f>_xlfn.RANK.EQ(J399,$J$2:$J$1001,0)</f>
        <v>602</v>
      </c>
    </row>
    <row r="400" spans="1:12" x14ac:dyDescent="0.3">
      <c r="A400" s="5" t="s">
        <v>17</v>
      </c>
      <c r="B400" s="5" t="s">
        <v>24</v>
      </c>
      <c r="C400" s="5" t="s">
        <v>22</v>
      </c>
      <c r="D400" s="5" t="s">
        <v>11</v>
      </c>
      <c r="E400" s="5" t="s">
        <v>12</v>
      </c>
      <c r="F400" s="5">
        <v>73</v>
      </c>
      <c r="G400" s="5">
        <v>64</v>
      </c>
      <c r="H400" s="6">
        <v>57</v>
      </c>
      <c r="I400" s="5">
        <f>SUM(F400:H400)</f>
        <v>194</v>
      </c>
      <c r="J400" s="7">
        <f>AVERAGE(F400:H400)</f>
        <v>64.666666666666671</v>
      </c>
      <c r="K400" s="8">
        <f>I400/300</f>
        <v>0.64666666666666661</v>
      </c>
      <c r="L400" s="5">
        <f>_xlfn.RANK.EQ(J400,$J$2:$J$1001,0)</f>
        <v>602</v>
      </c>
    </row>
    <row r="401" spans="1:12" x14ac:dyDescent="0.3">
      <c r="A401" s="5" t="s">
        <v>17</v>
      </c>
      <c r="B401" s="5" t="s">
        <v>21</v>
      </c>
      <c r="C401" s="5" t="s">
        <v>22</v>
      </c>
      <c r="D401" s="5" t="s">
        <v>20</v>
      </c>
      <c r="E401" s="5" t="s">
        <v>15</v>
      </c>
      <c r="F401" s="5">
        <v>64</v>
      </c>
      <c r="G401" s="5">
        <v>64</v>
      </c>
      <c r="H401" s="6">
        <v>67</v>
      </c>
      <c r="I401" s="5">
        <f>SUM(F401:H401)</f>
        <v>195</v>
      </c>
      <c r="J401" s="7">
        <f>AVERAGE(F401:H401)</f>
        <v>65</v>
      </c>
      <c r="K401" s="8">
        <f>I401/300</f>
        <v>0.65</v>
      </c>
      <c r="L401" s="5">
        <f>_xlfn.RANK.EQ(J401,$J$2:$J$1001,0)</f>
        <v>593</v>
      </c>
    </row>
    <row r="402" spans="1:12" x14ac:dyDescent="0.3">
      <c r="A402" s="5" t="s">
        <v>8</v>
      </c>
      <c r="B402" s="5" t="s">
        <v>18</v>
      </c>
      <c r="C402" s="5" t="s">
        <v>14</v>
      </c>
      <c r="D402" s="5" t="s">
        <v>11</v>
      </c>
      <c r="E402" s="5" t="s">
        <v>12</v>
      </c>
      <c r="F402" s="5">
        <v>58</v>
      </c>
      <c r="G402" s="5">
        <v>70</v>
      </c>
      <c r="H402" s="6">
        <v>67</v>
      </c>
      <c r="I402" s="5">
        <f>SUM(F402:H402)</f>
        <v>195</v>
      </c>
      <c r="J402" s="7">
        <f>AVERAGE(F402:H402)</f>
        <v>65</v>
      </c>
      <c r="K402" s="8">
        <f>I402/300</f>
        <v>0.65</v>
      </c>
      <c r="L402" s="5">
        <f>_xlfn.RANK.EQ(J402,$J$2:$J$1001,0)</f>
        <v>593</v>
      </c>
    </row>
    <row r="403" spans="1:12" x14ac:dyDescent="0.3">
      <c r="A403" s="5" t="s">
        <v>8</v>
      </c>
      <c r="B403" s="5" t="s">
        <v>9</v>
      </c>
      <c r="C403" s="5" t="s">
        <v>19</v>
      </c>
      <c r="D403" s="5" t="s">
        <v>11</v>
      </c>
      <c r="E403" s="5" t="s">
        <v>15</v>
      </c>
      <c r="F403" s="5">
        <v>59</v>
      </c>
      <c r="G403" s="5">
        <v>70</v>
      </c>
      <c r="H403" s="6">
        <v>66</v>
      </c>
      <c r="I403" s="5">
        <f>SUM(F403:H403)</f>
        <v>195</v>
      </c>
      <c r="J403" s="7">
        <f>AVERAGE(F403:H403)</f>
        <v>65</v>
      </c>
      <c r="K403" s="8">
        <f>I403/300</f>
        <v>0.65</v>
      </c>
      <c r="L403" s="5">
        <f>_xlfn.RANK.EQ(J403,$J$2:$J$1001,0)</f>
        <v>593</v>
      </c>
    </row>
    <row r="404" spans="1:12" x14ac:dyDescent="0.3">
      <c r="A404" s="5" t="s">
        <v>8</v>
      </c>
      <c r="B404" s="5" t="s">
        <v>9</v>
      </c>
      <c r="C404" s="5" t="s">
        <v>14</v>
      </c>
      <c r="D404" s="5" t="s">
        <v>20</v>
      </c>
      <c r="E404" s="5" t="s">
        <v>12</v>
      </c>
      <c r="F404" s="5">
        <v>61</v>
      </c>
      <c r="G404" s="5">
        <v>68</v>
      </c>
      <c r="H404" s="6">
        <v>66</v>
      </c>
      <c r="I404" s="5">
        <f>SUM(F404:H404)</f>
        <v>195</v>
      </c>
      <c r="J404" s="7">
        <f>AVERAGE(F404:H404)</f>
        <v>65</v>
      </c>
      <c r="K404" s="8">
        <f>I404/300</f>
        <v>0.65</v>
      </c>
      <c r="L404" s="5">
        <f>_xlfn.RANK.EQ(J404,$J$2:$J$1001,0)</f>
        <v>593</v>
      </c>
    </row>
    <row r="405" spans="1:12" x14ac:dyDescent="0.3">
      <c r="A405" s="5" t="s">
        <v>17</v>
      </c>
      <c r="B405" s="5" t="s">
        <v>21</v>
      </c>
      <c r="C405" s="5" t="s">
        <v>14</v>
      </c>
      <c r="D405" s="5" t="s">
        <v>20</v>
      </c>
      <c r="E405" s="5" t="s">
        <v>12</v>
      </c>
      <c r="F405" s="5">
        <v>69</v>
      </c>
      <c r="G405" s="5">
        <v>66</v>
      </c>
      <c r="H405" s="6">
        <v>60</v>
      </c>
      <c r="I405" s="5">
        <f>SUM(F405:H405)</f>
        <v>195</v>
      </c>
      <c r="J405" s="7">
        <f>AVERAGE(F405:H405)</f>
        <v>65</v>
      </c>
      <c r="K405" s="8">
        <f>I405/300</f>
        <v>0.65</v>
      </c>
      <c r="L405" s="5">
        <f>_xlfn.RANK.EQ(J405,$J$2:$J$1001,0)</f>
        <v>593</v>
      </c>
    </row>
    <row r="406" spans="1:12" x14ac:dyDescent="0.3">
      <c r="A406" s="5" t="s">
        <v>17</v>
      </c>
      <c r="B406" s="5" t="s">
        <v>18</v>
      </c>
      <c r="C406" s="5" t="s">
        <v>10</v>
      </c>
      <c r="D406" s="5" t="s">
        <v>11</v>
      </c>
      <c r="E406" s="5" t="s">
        <v>15</v>
      </c>
      <c r="F406" s="5">
        <v>75</v>
      </c>
      <c r="G406" s="5">
        <v>58</v>
      </c>
      <c r="H406" s="6">
        <v>62</v>
      </c>
      <c r="I406" s="5">
        <f>SUM(F406:H406)</f>
        <v>195</v>
      </c>
      <c r="J406" s="7">
        <f>AVERAGE(F406:H406)</f>
        <v>65</v>
      </c>
      <c r="K406" s="8">
        <f>I406/300</f>
        <v>0.65</v>
      </c>
      <c r="L406" s="5">
        <f>_xlfn.RANK.EQ(J406,$J$2:$J$1001,0)</f>
        <v>593</v>
      </c>
    </row>
    <row r="407" spans="1:12" x14ac:dyDescent="0.3">
      <c r="A407" s="5" t="s">
        <v>17</v>
      </c>
      <c r="B407" s="5" t="s">
        <v>9</v>
      </c>
      <c r="C407" s="5" t="s">
        <v>22</v>
      </c>
      <c r="D407" s="5" t="s">
        <v>11</v>
      </c>
      <c r="E407" s="5" t="s">
        <v>12</v>
      </c>
      <c r="F407" s="5">
        <v>70</v>
      </c>
      <c r="G407" s="5">
        <v>65</v>
      </c>
      <c r="H407" s="6">
        <v>60</v>
      </c>
      <c r="I407" s="5">
        <f>SUM(F407:H407)</f>
        <v>195</v>
      </c>
      <c r="J407" s="7">
        <f>AVERAGE(F407:H407)</f>
        <v>65</v>
      </c>
      <c r="K407" s="8">
        <f>I407/300</f>
        <v>0.65</v>
      </c>
      <c r="L407" s="5">
        <f>_xlfn.RANK.EQ(J407,$J$2:$J$1001,0)</f>
        <v>593</v>
      </c>
    </row>
    <row r="408" spans="1:12" x14ac:dyDescent="0.3">
      <c r="A408" s="5" t="s">
        <v>8</v>
      </c>
      <c r="B408" s="5" t="s">
        <v>21</v>
      </c>
      <c r="C408" s="5" t="s">
        <v>14</v>
      </c>
      <c r="D408" s="5" t="s">
        <v>20</v>
      </c>
      <c r="E408" s="5" t="s">
        <v>12</v>
      </c>
      <c r="F408" s="5">
        <v>55</v>
      </c>
      <c r="G408" s="5">
        <v>71</v>
      </c>
      <c r="H408" s="6">
        <v>69</v>
      </c>
      <c r="I408" s="5">
        <f>SUM(F408:H408)</f>
        <v>195</v>
      </c>
      <c r="J408" s="7">
        <f>AVERAGE(F408:H408)</f>
        <v>65</v>
      </c>
      <c r="K408" s="8">
        <f>I408/300</f>
        <v>0.65</v>
      </c>
      <c r="L408" s="5">
        <f>_xlfn.RANK.EQ(J408,$J$2:$J$1001,0)</f>
        <v>593</v>
      </c>
    </row>
    <row r="409" spans="1:12" x14ac:dyDescent="0.3">
      <c r="A409" s="5" t="s">
        <v>8</v>
      </c>
      <c r="B409" s="5" t="s">
        <v>13</v>
      </c>
      <c r="C409" s="5" t="s">
        <v>22</v>
      </c>
      <c r="D409" s="5" t="s">
        <v>20</v>
      </c>
      <c r="E409" s="5" t="s">
        <v>15</v>
      </c>
      <c r="F409" s="5">
        <v>59</v>
      </c>
      <c r="G409" s="5">
        <v>71</v>
      </c>
      <c r="H409" s="6">
        <v>65</v>
      </c>
      <c r="I409" s="5">
        <f>SUM(F409:H409)</f>
        <v>195</v>
      </c>
      <c r="J409" s="7">
        <f>AVERAGE(F409:H409)</f>
        <v>65</v>
      </c>
      <c r="K409" s="8">
        <f>I409/300</f>
        <v>0.65</v>
      </c>
      <c r="L409" s="5">
        <f>_xlfn.RANK.EQ(J409,$J$2:$J$1001,0)</f>
        <v>593</v>
      </c>
    </row>
    <row r="410" spans="1:12" x14ac:dyDescent="0.3">
      <c r="A410" s="5" t="s">
        <v>17</v>
      </c>
      <c r="B410" s="5" t="s">
        <v>21</v>
      </c>
      <c r="C410" s="5" t="s">
        <v>23</v>
      </c>
      <c r="D410" s="5" t="s">
        <v>11</v>
      </c>
      <c r="E410" s="5" t="s">
        <v>15</v>
      </c>
      <c r="F410" s="5">
        <v>62</v>
      </c>
      <c r="G410" s="5">
        <v>66</v>
      </c>
      <c r="H410" s="6">
        <v>68</v>
      </c>
      <c r="I410" s="5">
        <f>SUM(F410:H410)</f>
        <v>196</v>
      </c>
      <c r="J410" s="7">
        <f>AVERAGE(F410:H410)</f>
        <v>65.333333333333329</v>
      </c>
      <c r="K410" s="8">
        <f>I410/300</f>
        <v>0.65333333333333332</v>
      </c>
      <c r="L410" s="5">
        <f>_xlfn.RANK.EQ(J410,$J$2:$J$1001,0)</f>
        <v>584</v>
      </c>
    </row>
    <row r="411" spans="1:12" x14ac:dyDescent="0.3">
      <c r="A411" s="5" t="s">
        <v>17</v>
      </c>
      <c r="B411" s="5" t="s">
        <v>21</v>
      </c>
      <c r="C411" s="5" t="s">
        <v>10</v>
      </c>
      <c r="D411" s="5" t="s">
        <v>20</v>
      </c>
      <c r="E411" s="5" t="s">
        <v>12</v>
      </c>
      <c r="F411" s="5">
        <v>63</v>
      </c>
      <c r="G411" s="5">
        <v>66</v>
      </c>
      <c r="H411" s="6">
        <v>67</v>
      </c>
      <c r="I411" s="5">
        <f>SUM(F411:H411)</f>
        <v>196</v>
      </c>
      <c r="J411" s="7">
        <f>AVERAGE(F411:H411)</f>
        <v>65.333333333333329</v>
      </c>
      <c r="K411" s="8">
        <f>I411/300</f>
        <v>0.65333333333333332</v>
      </c>
      <c r="L411" s="5">
        <f>_xlfn.RANK.EQ(J411,$J$2:$J$1001,0)</f>
        <v>584</v>
      </c>
    </row>
    <row r="412" spans="1:12" x14ac:dyDescent="0.3">
      <c r="A412" s="5" t="s">
        <v>8</v>
      </c>
      <c r="B412" s="5" t="s">
        <v>9</v>
      </c>
      <c r="C412" s="5" t="s">
        <v>22</v>
      </c>
      <c r="D412" s="5" t="s">
        <v>11</v>
      </c>
      <c r="E412" s="5" t="s">
        <v>15</v>
      </c>
      <c r="F412" s="5">
        <v>58</v>
      </c>
      <c r="G412" s="5">
        <v>70</v>
      </c>
      <c r="H412" s="6">
        <v>68</v>
      </c>
      <c r="I412" s="5">
        <f>SUM(F412:H412)</f>
        <v>196</v>
      </c>
      <c r="J412" s="7">
        <f>AVERAGE(F412:H412)</f>
        <v>65.333333333333329</v>
      </c>
      <c r="K412" s="8">
        <f>I412/300</f>
        <v>0.65333333333333332</v>
      </c>
      <c r="L412" s="5">
        <f>_xlfn.RANK.EQ(J412,$J$2:$J$1001,0)</f>
        <v>584</v>
      </c>
    </row>
    <row r="413" spans="1:12" x14ac:dyDescent="0.3">
      <c r="A413" s="5" t="s">
        <v>17</v>
      </c>
      <c r="B413" s="5" t="s">
        <v>21</v>
      </c>
      <c r="C413" s="5" t="s">
        <v>10</v>
      </c>
      <c r="D413" s="5" t="s">
        <v>11</v>
      </c>
      <c r="E413" s="5" t="s">
        <v>15</v>
      </c>
      <c r="F413" s="5">
        <v>67</v>
      </c>
      <c r="G413" s="5">
        <v>61</v>
      </c>
      <c r="H413" s="6">
        <v>68</v>
      </c>
      <c r="I413" s="5">
        <f>SUM(F413:H413)</f>
        <v>196</v>
      </c>
      <c r="J413" s="7">
        <f>AVERAGE(F413:H413)</f>
        <v>65.333333333333329</v>
      </c>
      <c r="K413" s="8">
        <f>I413/300</f>
        <v>0.65333333333333332</v>
      </c>
      <c r="L413" s="5">
        <f>_xlfn.RANK.EQ(J413,$J$2:$J$1001,0)</f>
        <v>584</v>
      </c>
    </row>
    <row r="414" spans="1:12" x14ac:dyDescent="0.3">
      <c r="A414" s="5" t="s">
        <v>8</v>
      </c>
      <c r="B414" s="5" t="s">
        <v>9</v>
      </c>
      <c r="C414" s="5" t="s">
        <v>14</v>
      </c>
      <c r="D414" s="5" t="s">
        <v>11</v>
      </c>
      <c r="E414" s="5" t="s">
        <v>12</v>
      </c>
      <c r="F414" s="5">
        <v>62</v>
      </c>
      <c r="G414" s="5">
        <v>67</v>
      </c>
      <c r="H414" s="6">
        <v>67</v>
      </c>
      <c r="I414" s="5">
        <f>SUM(F414:H414)</f>
        <v>196</v>
      </c>
      <c r="J414" s="7">
        <f>AVERAGE(F414:H414)</f>
        <v>65.333333333333329</v>
      </c>
      <c r="K414" s="8">
        <f>I414/300</f>
        <v>0.65333333333333332</v>
      </c>
      <c r="L414" s="5">
        <f>_xlfn.RANK.EQ(J414,$J$2:$J$1001,0)</f>
        <v>584</v>
      </c>
    </row>
    <row r="415" spans="1:12" x14ac:dyDescent="0.3">
      <c r="A415" s="5" t="s">
        <v>17</v>
      </c>
      <c r="B415" s="5" t="s">
        <v>21</v>
      </c>
      <c r="C415" s="5" t="s">
        <v>23</v>
      </c>
      <c r="D415" s="5" t="s">
        <v>11</v>
      </c>
      <c r="E415" s="5" t="s">
        <v>12</v>
      </c>
      <c r="F415" s="5">
        <v>69</v>
      </c>
      <c r="G415" s="5">
        <v>66</v>
      </c>
      <c r="H415" s="6">
        <v>61</v>
      </c>
      <c r="I415" s="5">
        <f>SUM(F415:H415)</f>
        <v>196</v>
      </c>
      <c r="J415" s="7">
        <f>AVERAGE(F415:H415)</f>
        <v>65.333333333333329</v>
      </c>
      <c r="K415" s="8">
        <f>I415/300</f>
        <v>0.65333333333333332</v>
      </c>
      <c r="L415" s="5">
        <f>_xlfn.RANK.EQ(J415,$J$2:$J$1001,0)</f>
        <v>584</v>
      </c>
    </row>
    <row r="416" spans="1:12" x14ac:dyDescent="0.3">
      <c r="A416" s="5" t="s">
        <v>17</v>
      </c>
      <c r="B416" s="5" t="s">
        <v>9</v>
      </c>
      <c r="C416" s="5" t="s">
        <v>14</v>
      </c>
      <c r="D416" s="5" t="s">
        <v>11</v>
      </c>
      <c r="E416" s="5" t="s">
        <v>15</v>
      </c>
      <c r="F416" s="5">
        <v>62</v>
      </c>
      <c r="G416" s="5">
        <v>66</v>
      </c>
      <c r="H416" s="6">
        <v>68</v>
      </c>
      <c r="I416" s="5">
        <f>SUM(F416:H416)</f>
        <v>196</v>
      </c>
      <c r="J416" s="7">
        <f>AVERAGE(F416:H416)</f>
        <v>65.333333333333329</v>
      </c>
      <c r="K416" s="8">
        <f>I416/300</f>
        <v>0.65333333333333332</v>
      </c>
      <c r="L416" s="5">
        <f>_xlfn.RANK.EQ(J416,$J$2:$J$1001,0)</f>
        <v>584</v>
      </c>
    </row>
    <row r="417" spans="1:12" x14ac:dyDescent="0.3">
      <c r="A417" s="5" t="s">
        <v>8</v>
      </c>
      <c r="B417" s="5" t="s">
        <v>9</v>
      </c>
      <c r="C417" s="5" t="s">
        <v>23</v>
      </c>
      <c r="D417" s="5" t="s">
        <v>11</v>
      </c>
      <c r="E417" s="5" t="s">
        <v>12</v>
      </c>
      <c r="F417" s="5">
        <v>57</v>
      </c>
      <c r="G417" s="5">
        <v>67</v>
      </c>
      <c r="H417" s="6">
        <v>72</v>
      </c>
      <c r="I417" s="5">
        <f>SUM(F417:H417)</f>
        <v>196</v>
      </c>
      <c r="J417" s="7">
        <f>AVERAGE(F417:H417)</f>
        <v>65.333333333333329</v>
      </c>
      <c r="K417" s="8">
        <f>I417/300</f>
        <v>0.65333333333333332</v>
      </c>
      <c r="L417" s="5">
        <f>_xlfn.RANK.EQ(J417,$J$2:$J$1001,0)</f>
        <v>584</v>
      </c>
    </row>
    <row r="418" spans="1:12" x14ac:dyDescent="0.3">
      <c r="A418" s="5" t="s">
        <v>8</v>
      </c>
      <c r="B418" s="5" t="s">
        <v>21</v>
      </c>
      <c r="C418" s="5" t="s">
        <v>14</v>
      </c>
      <c r="D418" s="5" t="s">
        <v>20</v>
      </c>
      <c r="E418" s="5" t="s">
        <v>12</v>
      </c>
      <c r="F418" s="5">
        <v>60</v>
      </c>
      <c r="G418" s="5">
        <v>66</v>
      </c>
      <c r="H418" s="6">
        <v>70</v>
      </c>
      <c r="I418" s="5">
        <f>SUM(F418:H418)</f>
        <v>196</v>
      </c>
      <c r="J418" s="7">
        <f>AVERAGE(F418:H418)</f>
        <v>65.333333333333329</v>
      </c>
      <c r="K418" s="8">
        <f>I418/300</f>
        <v>0.65333333333333332</v>
      </c>
      <c r="L418" s="5">
        <f>_xlfn.RANK.EQ(J418,$J$2:$J$1001,0)</f>
        <v>584</v>
      </c>
    </row>
    <row r="419" spans="1:12" x14ac:dyDescent="0.3">
      <c r="A419" s="5" t="s">
        <v>8</v>
      </c>
      <c r="B419" s="5" t="s">
        <v>13</v>
      </c>
      <c r="C419" s="5" t="s">
        <v>14</v>
      </c>
      <c r="D419" s="5" t="s">
        <v>11</v>
      </c>
      <c r="E419" s="5" t="s">
        <v>12</v>
      </c>
      <c r="F419" s="5">
        <v>58</v>
      </c>
      <c r="G419" s="5">
        <v>67</v>
      </c>
      <c r="H419" s="6">
        <v>72</v>
      </c>
      <c r="I419" s="5">
        <f>SUM(F419:H419)</f>
        <v>197</v>
      </c>
      <c r="J419" s="7">
        <f>AVERAGE(F419:H419)</f>
        <v>65.666666666666671</v>
      </c>
      <c r="K419" s="8">
        <f>I419/300</f>
        <v>0.65666666666666662</v>
      </c>
      <c r="L419" s="5">
        <f>_xlfn.RANK.EQ(J419,$J$2:$J$1001,0)</f>
        <v>576</v>
      </c>
    </row>
    <row r="420" spans="1:12" x14ac:dyDescent="0.3">
      <c r="A420" s="5" t="s">
        <v>17</v>
      </c>
      <c r="B420" s="5" t="s">
        <v>13</v>
      </c>
      <c r="C420" s="5" t="s">
        <v>19</v>
      </c>
      <c r="D420" s="5" t="s">
        <v>20</v>
      </c>
      <c r="E420" s="5" t="s">
        <v>15</v>
      </c>
      <c r="F420" s="5">
        <v>65</v>
      </c>
      <c r="G420" s="5">
        <v>67</v>
      </c>
      <c r="H420" s="6">
        <v>65</v>
      </c>
      <c r="I420" s="5">
        <f>SUM(F420:H420)</f>
        <v>197</v>
      </c>
      <c r="J420" s="7">
        <f>AVERAGE(F420:H420)</f>
        <v>65.666666666666671</v>
      </c>
      <c r="K420" s="8">
        <f>I420/300</f>
        <v>0.65666666666666662</v>
      </c>
      <c r="L420" s="5">
        <f>_xlfn.RANK.EQ(J420,$J$2:$J$1001,0)</f>
        <v>576</v>
      </c>
    </row>
    <row r="421" spans="1:12" x14ac:dyDescent="0.3">
      <c r="A421" s="5" t="s">
        <v>8</v>
      </c>
      <c r="B421" s="5" t="s">
        <v>24</v>
      </c>
      <c r="C421" s="5" t="s">
        <v>22</v>
      </c>
      <c r="D421" s="5" t="s">
        <v>11</v>
      </c>
      <c r="E421" s="5" t="s">
        <v>15</v>
      </c>
      <c r="F421" s="5">
        <v>59</v>
      </c>
      <c r="G421" s="5">
        <v>63</v>
      </c>
      <c r="H421" s="6">
        <v>75</v>
      </c>
      <c r="I421" s="5">
        <f>SUM(F421:H421)</f>
        <v>197</v>
      </c>
      <c r="J421" s="7">
        <f>AVERAGE(F421:H421)</f>
        <v>65.666666666666671</v>
      </c>
      <c r="K421" s="8">
        <f>I421/300</f>
        <v>0.65666666666666662</v>
      </c>
      <c r="L421" s="5">
        <f>_xlfn.RANK.EQ(J421,$J$2:$J$1001,0)</f>
        <v>576</v>
      </c>
    </row>
    <row r="422" spans="1:12" x14ac:dyDescent="0.3">
      <c r="A422" s="5" t="s">
        <v>8</v>
      </c>
      <c r="B422" s="5" t="s">
        <v>13</v>
      </c>
      <c r="C422" s="5" t="s">
        <v>22</v>
      </c>
      <c r="D422" s="5" t="s">
        <v>11</v>
      </c>
      <c r="E422" s="5" t="s">
        <v>12</v>
      </c>
      <c r="F422" s="5">
        <v>61</v>
      </c>
      <c r="G422" s="5">
        <v>73</v>
      </c>
      <c r="H422" s="6">
        <v>63</v>
      </c>
      <c r="I422" s="5">
        <f>SUM(F422:H422)</f>
        <v>197</v>
      </c>
      <c r="J422" s="7">
        <f>AVERAGE(F422:H422)</f>
        <v>65.666666666666671</v>
      </c>
      <c r="K422" s="8">
        <f>I422/300</f>
        <v>0.65666666666666662</v>
      </c>
      <c r="L422" s="5">
        <f>_xlfn.RANK.EQ(J422,$J$2:$J$1001,0)</f>
        <v>576</v>
      </c>
    </row>
    <row r="423" spans="1:12" x14ac:dyDescent="0.3">
      <c r="A423" s="5" t="s">
        <v>17</v>
      </c>
      <c r="B423" s="5" t="s">
        <v>21</v>
      </c>
      <c r="C423" s="5" t="s">
        <v>19</v>
      </c>
      <c r="D423" s="5" t="s">
        <v>11</v>
      </c>
      <c r="E423" s="5" t="s">
        <v>12</v>
      </c>
      <c r="F423" s="5">
        <v>71</v>
      </c>
      <c r="G423" s="5">
        <v>66</v>
      </c>
      <c r="H423" s="6">
        <v>60</v>
      </c>
      <c r="I423" s="5">
        <f>SUM(F423:H423)</f>
        <v>197</v>
      </c>
      <c r="J423" s="7">
        <f>AVERAGE(F423:H423)</f>
        <v>65.666666666666671</v>
      </c>
      <c r="K423" s="8">
        <f>I423/300</f>
        <v>0.65666666666666662</v>
      </c>
      <c r="L423" s="5">
        <f>_xlfn.RANK.EQ(J423,$J$2:$J$1001,0)</f>
        <v>576</v>
      </c>
    </row>
    <row r="424" spans="1:12" x14ac:dyDescent="0.3">
      <c r="A424" s="5" t="s">
        <v>17</v>
      </c>
      <c r="B424" s="5" t="s">
        <v>9</v>
      </c>
      <c r="C424" s="5" t="s">
        <v>23</v>
      </c>
      <c r="D424" s="5" t="s">
        <v>11</v>
      </c>
      <c r="E424" s="5" t="s">
        <v>15</v>
      </c>
      <c r="F424" s="5">
        <v>63</v>
      </c>
      <c r="G424" s="5">
        <v>67</v>
      </c>
      <c r="H424" s="6">
        <v>67</v>
      </c>
      <c r="I424" s="5">
        <f>SUM(F424:H424)</f>
        <v>197</v>
      </c>
      <c r="J424" s="7">
        <f>AVERAGE(F424:H424)</f>
        <v>65.666666666666671</v>
      </c>
      <c r="K424" s="8">
        <f>I424/300</f>
        <v>0.65666666666666662</v>
      </c>
      <c r="L424" s="5">
        <f>_xlfn.RANK.EQ(J424,$J$2:$J$1001,0)</f>
        <v>576</v>
      </c>
    </row>
    <row r="425" spans="1:12" x14ac:dyDescent="0.3">
      <c r="A425" s="5" t="s">
        <v>17</v>
      </c>
      <c r="B425" s="5" t="s">
        <v>13</v>
      </c>
      <c r="C425" s="5" t="s">
        <v>14</v>
      </c>
      <c r="D425" s="5" t="s">
        <v>20</v>
      </c>
      <c r="E425" s="5" t="s">
        <v>12</v>
      </c>
      <c r="F425" s="5">
        <v>68</v>
      </c>
      <c r="G425" s="5">
        <v>68</v>
      </c>
      <c r="H425" s="6">
        <v>61</v>
      </c>
      <c r="I425" s="5">
        <f>SUM(F425:H425)</f>
        <v>197</v>
      </c>
      <c r="J425" s="7">
        <f>AVERAGE(F425:H425)</f>
        <v>65.666666666666671</v>
      </c>
      <c r="K425" s="8">
        <f>I425/300</f>
        <v>0.65666666666666662</v>
      </c>
      <c r="L425" s="5">
        <f>_xlfn.RANK.EQ(J425,$J$2:$J$1001,0)</f>
        <v>576</v>
      </c>
    </row>
    <row r="426" spans="1:12" x14ac:dyDescent="0.3">
      <c r="A426" s="5" t="s">
        <v>8</v>
      </c>
      <c r="B426" s="5" t="s">
        <v>21</v>
      </c>
      <c r="C426" s="5" t="s">
        <v>22</v>
      </c>
      <c r="D426" s="5" t="s">
        <v>20</v>
      </c>
      <c r="E426" s="5" t="s">
        <v>15</v>
      </c>
      <c r="F426" s="5">
        <v>65</v>
      </c>
      <c r="G426" s="5">
        <v>61</v>
      </c>
      <c r="H426" s="6">
        <v>71</v>
      </c>
      <c r="I426" s="5">
        <f>SUM(F426:H426)</f>
        <v>197</v>
      </c>
      <c r="J426" s="7">
        <f>AVERAGE(F426:H426)</f>
        <v>65.666666666666671</v>
      </c>
      <c r="K426" s="8">
        <f>I426/300</f>
        <v>0.65666666666666662</v>
      </c>
      <c r="L426" s="5">
        <f>_xlfn.RANK.EQ(J426,$J$2:$J$1001,0)</f>
        <v>576</v>
      </c>
    </row>
    <row r="427" spans="1:12" x14ac:dyDescent="0.3">
      <c r="A427" s="5" t="s">
        <v>17</v>
      </c>
      <c r="B427" s="5" t="s">
        <v>21</v>
      </c>
      <c r="C427" s="5" t="s">
        <v>22</v>
      </c>
      <c r="D427" s="5" t="s">
        <v>11</v>
      </c>
      <c r="E427" s="5" t="s">
        <v>12</v>
      </c>
      <c r="F427" s="5">
        <v>66</v>
      </c>
      <c r="G427" s="5">
        <v>69</v>
      </c>
      <c r="H427" s="6">
        <v>63</v>
      </c>
      <c r="I427" s="5">
        <f>SUM(F427:H427)</f>
        <v>198</v>
      </c>
      <c r="J427" s="7">
        <f>AVERAGE(F427:H427)</f>
        <v>66</v>
      </c>
      <c r="K427" s="8">
        <f>I427/300</f>
        <v>0.66</v>
      </c>
      <c r="L427" s="5">
        <f>_xlfn.RANK.EQ(J427,$J$2:$J$1001,0)</f>
        <v>562</v>
      </c>
    </row>
    <row r="428" spans="1:12" x14ac:dyDescent="0.3">
      <c r="A428" s="5" t="s">
        <v>8</v>
      </c>
      <c r="B428" s="5" t="s">
        <v>24</v>
      </c>
      <c r="C428" s="5" t="s">
        <v>16</v>
      </c>
      <c r="D428" s="5" t="s">
        <v>11</v>
      </c>
      <c r="E428" s="5" t="s">
        <v>12</v>
      </c>
      <c r="F428" s="5">
        <v>62</v>
      </c>
      <c r="G428" s="5">
        <v>68</v>
      </c>
      <c r="H428" s="6">
        <v>68</v>
      </c>
      <c r="I428" s="5">
        <f>SUM(F428:H428)</f>
        <v>198</v>
      </c>
      <c r="J428" s="7">
        <f>AVERAGE(F428:H428)</f>
        <v>66</v>
      </c>
      <c r="K428" s="8">
        <f>I428/300</f>
        <v>0.66</v>
      </c>
      <c r="L428" s="5">
        <f>_xlfn.RANK.EQ(J428,$J$2:$J$1001,0)</f>
        <v>562</v>
      </c>
    </row>
    <row r="429" spans="1:12" x14ac:dyDescent="0.3">
      <c r="A429" s="5" t="s">
        <v>8</v>
      </c>
      <c r="B429" s="5" t="s">
        <v>9</v>
      </c>
      <c r="C429" s="5" t="s">
        <v>19</v>
      </c>
      <c r="D429" s="5" t="s">
        <v>20</v>
      </c>
      <c r="E429" s="5" t="s">
        <v>12</v>
      </c>
      <c r="F429" s="5">
        <v>52</v>
      </c>
      <c r="G429" s="5">
        <v>76</v>
      </c>
      <c r="H429" s="6">
        <v>70</v>
      </c>
      <c r="I429" s="5">
        <f>SUM(F429:H429)</f>
        <v>198</v>
      </c>
      <c r="J429" s="7">
        <f>AVERAGE(F429:H429)</f>
        <v>66</v>
      </c>
      <c r="K429" s="8">
        <f>I429/300</f>
        <v>0.66</v>
      </c>
      <c r="L429" s="5">
        <f>_xlfn.RANK.EQ(J429,$J$2:$J$1001,0)</f>
        <v>562</v>
      </c>
    </row>
    <row r="430" spans="1:12" x14ac:dyDescent="0.3">
      <c r="A430" s="5" t="s">
        <v>17</v>
      </c>
      <c r="B430" s="5" t="s">
        <v>18</v>
      </c>
      <c r="C430" s="5" t="s">
        <v>23</v>
      </c>
      <c r="D430" s="5" t="s">
        <v>11</v>
      </c>
      <c r="E430" s="5" t="s">
        <v>15</v>
      </c>
      <c r="F430" s="5">
        <v>62</v>
      </c>
      <c r="G430" s="5">
        <v>67</v>
      </c>
      <c r="H430" s="6">
        <v>69</v>
      </c>
      <c r="I430" s="5">
        <f>SUM(F430:H430)</f>
        <v>198</v>
      </c>
      <c r="J430" s="7">
        <f>AVERAGE(F430:H430)</f>
        <v>66</v>
      </c>
      <c r="K430" s="8">
        <f>I430/300</f>
        <v>0.66</v>
      </c>
      <c r="L430" s="5">
        <f>_xlfn.RANK.EQ(J430,$J$2:$J$1001,0)</f>
        <v>562</v>
      </c>
    </row>
    <row r="431" spans="1:12" x14ac:dyDescent="0.3">
      <c r="A431" s="5" t="s">
        <v>8</v>
      </c>
      <c r="B431" s="5" t="s">
        <v>21</v>
      </c>
      <c r="C431" s="5" t="s">
        <v>22</v>
      </c>
      <c r="D431" s="5" t="s">
        <v>11</v>
      </c>
      <c r="E431" s="5" t="s">
        <v>15</v>
      </c>
      <c r="F431" s="5">
        <v>56</v>
      </c>
      <c r="G431" s="5">
        <v>68</v>
      </c>
      <c r="H431" s="6">
        <v>74</v>
      </c>
      <c r="I431" s="5">
        <f>SUM(F431:H431)</f>
        <v>198</v>
      </c>
      <c r="J431" s="7">
        <f>AVERAGE(F431:H431)</f>
        <v>66</v>
      </c>
      <c r="K431" s="8">
        <f>I431/300</f>
        <v>0.66</v>
      </c>
      <c r="L431" s="5">
        <f>_xlfn.RANK.EQ(J431,$J$2:$J$1001,0)</f>
        <v>562</v>
      </c>
    </row>
    <row r="432" spans="1:12" x14ac:dyDescent="0.3">
      <c r="A432" s="5" t="s">
        <v>8</v>
      </c>
      <c r="B432" s="5" t="s">
        <v>21</v>
      </c>
      <c r="C432" s="5" t="s">
        <v>23</v>
      </c>
      <c r="D432" s="5" t="s">
        <v>11</v>
      </c>
      <c r="E432" s="5" t="s">
        <v>15</v>
      </c>
      <c r="F432" s="5">
        <v>64</v>
      </c>
      <c r="G432" s="5">
        <v>60</v>
      </c>
      <c r="H432" s="6">
        <v>74</v>
      </c>
      <c r="I432" s="5">
        <f>SUM(F432:H432)</f>
        <v>198</v>
      </c>
      <c r="J432" s="7">
        <f>AVERAGE(F432:H432)</f>
        <v>66</v>
      </c>
      <c r="K432" s="8">
        <f>I432/300</f>
        <v>0.66</v>
      </c>
      <c r="L432" s="5">
        <f>_xlfn.RANK.EQ(J432,$J$2:$J$1001,0)</f>
        <v>562</v>
      </c>
    </row>
    <row r="433" spans="1:12" x14ac:dyDescent="0.3">
      <c r="A433" s="5" t="s">
        <v>8</v>
      </c>
      <c r="B433" s="5" t="s">
        <v>13</v>
      </c>
      <c r="C433" s="5" t="s">
        <v>10</v>
      </c>
      <c r="D433" s="5" t="s">
        <v>11</v>
      </c>
      <c r="E433" s="5" t="s">
        <v>15</v>
      </c>
      <c r="F433" s="5">
        <v>59</v>
      </c>
      <c r="G433" s="5">
        <v>64</v>
      </c>
      <c r="H433" s="6">
        <v>75</v>
      </c>
      <c r="I433" s="5">
        <f>SUM(F433:H433)</f>
        <v>198</v>
      </c>
      <c r="J433" s="7">
        <f>AVERAGE(F433:H433)</f>
        <v>66</v>
      </c>
      <c r="K433" s="8">
        <f>I433/300</f>
        <v>0.66</v>
      </c>
      <c r="L433" s="5">
        <f>_xlfn.RANK.EQ(J433,$J$2:$J$1001,0)</f>
        <v>562</v>
      </c>
    </row>
    <row r="434" spans="1:12" x14ac:dyDescent="0.3">
      <c r="A434" s="5" t="s">
        <v>8</v>
      </c>
      <c r="B434" s="5" t="s">
        <v>13</v>
      </c>
      <c r="C434" s="5" t="s">
        <v>19</v>
      </c>
      <c r="D434" s="5" t="s">
        <v>11</v>
      </c>
      <c r="E434" s="5" t="s">
        <v>12</v>
      </c>
      <c r="F434" s="5">
        <v>64</v>
      </c>
      <c r="G434" s="5">
        <v>64</v>
      </c>
      <c r="H434" s="6">
        <v>70</v>
      </c>
      <c r="I434" s="5">
        <f>SUM(F434:H434)</f>
        <v>198</v>
      </c>
      <c r="J434" s="7">
        <f>AVERAGE(F434:H434)</f>
        <v>66</v>
      </c>
      <c r="K434" s="8">
        <f>I434/300</f>
        <v>0.66</v>
      </c>
      <c r="L434" s="5">
        <f>_xlfn.RANK.EQ(J434,$J$2:$J$1001,0)</f>
        <v>562</v>
      </c>
    </row>
    <row r="435" spans="1:12" x14ac:dyDescent="0.3">
      <c r="A435" s="5" t="s">
        <v>17</v>
      </c>
      <c r="B435" s="5" t="s">
        <v>21</v>
      </c>
      <c r="C435" s="5" t="s">
        <v>22</v>
      </c>
      <c r="D435" s="5" t="s">
        <v>11</v>
      </c>
      <c r="E435" s="5" t="s">
        <v>15</v>
      </c>
      <c r="F435" s="5">
        <v>68</v>
      </c>
      <c r="G435" s="5">
        <v>64</v>
      </c>
      <c r="H435" s="6">
        <v>66</v>
      </c>
      <c r="I435" s="5">
        <f>SUM(F435:H435)</f>
        <v>198</v>
      </c>
      <c r="J435" s="7">
        <f>AVERAGE(F435:H435)</f>
        <v>66</v>
      </c>
      <c r="K435" s="8">
        <f>I435/300</f>
        <v>0.66</v>
      </c>
      <c r="L435" s="5">
        <f>_xlfn.RANK.EQ(J435,$J$2:$J$1001,0)</f>
        <v>562</v>
      </c>
    </row>
    <row r="436" spans="1:12" x14ac:dyDescent="0.3">
      <c r="A436" s="5" t="s">
        <v>17</v>
      </c>
      <c r="B436" s="5" t="s">
        <v>9</v>
      </c>
      <c r="C436" s="5" t="s">
        <v>22</v>
      </c>
      <c r="D436" s="5" t="s">
        <v>11</v>
      </c>
      <c r="E436" s="5" t="s">
        <v>15</v>
      </c>
      <c r="F436" s="5">
        <v>76</v>
      </c>
      <c r="G436" s="5">
        <v>62</v>
      </c>
      <c r="H436" s="6">
        <v>60</v>
      </c>
      <c r="I436" s="5">
        <f>SUM(F436:H436)</f>
        <v>198</v>
      </c>
      <c r="J436" s="7">
        <f>AVERAGE(F436:H436)</f>
        <v>66</v>
      </c>
      <c r="K436" s="8">
        <f>I436/300</f>
        <v>0.66</v>
      </c>
      <c r="L436" s="5">
        <f>_xlfn.RANK.EQ(J436,$J$2:$J$1001,0)</f>
        <v>562</v>
      </c>
    </row>
    <row r="437" spans="1:12" x14ac:dyDescent="0.3">
      <c r="A437" s="5" t="s">
        <v>8</v>
      </c>
      <c r="B437" s="5" t="s">
        <v>24</v>
      </c>
      <c r="C437" s="5" t="s">
        <v>19</v>
      </c>
      <c r="D437" s="5" t="s">
        <v>20</v>
      </c>
      <c r="E437" s="5" t="s">
        <v>15</v>
      </c>
      <c r="F437" s="5">
        <v>57</v>
      </c>
      <c r="G437" s="5">
        <v>68</v>
      </c>
      <c r="H437" s="6">
        <v>73</v>
      </c>
      <c r="I437" s="5">
        <f>SUM(F437:H437)</f>
        <v>198</v>
      </c>
      <c r="J437" s="7">
        <f>AVERAGE(F437:H437)</f>
        <v>66</v>
      </c>
      <c r="K437" s="8">
        <f>I437/300</f>
        <v>0.66</v>
      </c>
      <c r="L437" s="5">
        <f>_xlfn.RANK.EQ(J437,$J$2:$J$1001,0)</f>
        <v>562</v>
      </c>
    </row>
    <row r="438" spans="1:12" x14ac:dyDescent="0.3">
      <c r="A438" s="5" t="s">
        <v>8</v>
      </c>
      <c r="B438" s="5" t="s">
        <v>13</v>
      </c>
      <c r="C438" s="5" t="s">
        <v>22</v>
      </c>
      <c r="D438" s="5" t="s">
        <v>11</v>
      </c>
      <c r="E438" s="5" t="s">
        <v>15</v>
      </c>
      <c r="F438" s="5">
        <v>60</v>
      </c>
      <c r="G438" s="5">
        <v>64</v>
      </c>
      <c r="H438" s="6">
        <v>74</v>
      </c>
      <c r="I438" s="5">
        <f>SUM(F438:H438)</f>
        <v>198</v>
      </c>
      <c r="J438" s="7">
        <f>AVERAGE(F438:H438)</f>
        <v>66</v>
      </c>
      <c r="K438" s="8">
        <f>I438/300</f>
        <v>0.66</v>
      </c>
      <c r="L438" s="5">
        <f>_xlfn.RANK.EQ(J438,$J$2:$J$1001,0)</f>
        <v>562</v>
      </c>
    </row>
    <row r="439" spans="1:12" x14ac:dyDescent="0.3">
      <c r="A439" s="5" t="s">
        <v>17</v>
      </c>
      <c r="B439" s="5" t="s">
        <v>24</v>
      </c>
      <c r="C439" s="5" t="s">
        <v>23</v>
      </c>
      <c r="D439" s="5" t="s">
        <v>11</v>
      </c>
      <c r="E439" s="5" t="s">
        <v>15</v>
      </c>
      <c r="F439" s="5">
        <v>74</v>
      </c>
      <c r="G439" s="5">
        <v>64</v>
      </c>
      <c r="H439" s="6">
        <v>60</v>
      </c>
      <c r="I439" s="5">
        <f>SUM(F439:H439)</f>
        <v>198</v>
      </c>
      <c r="J439" s="7">
        <f>AVERAGE(F439:H439)</f>
        <v>66</v>
      </c>
      <c r="K439" s="8">
        <f>I439/300</f>
        <v>0.66</v>
      </c>
      <c r="L439" s="5">
        <f>_xlfn.RANK.EQ(J439,$J$2:$J$1001,0)</f>
        <v>562</v>
      </c>
    </row>
    <row r="440" spans="1:12" x14ac:dyDescent="0.3">
      <c r="A440" s="5" t="s">
        <v>17</v>
      </c>
      <c r="B440" s="5" t="s">
        <v>18</v>
      </c>
      <c r="C440" s="5" t="s">
        <v>23</v>
      </c>
      <c r="D440" s="5" t="s">
        <v>11</v>
      </c>
      <c r="E440" s="5" t="s">
        <v>15</v>
      </c>
      <c r="F440" s="5">
        <v>66</v>
      </c>
      <c r="G440" s="5">
        <v>68</v>
      </c>
      <c r="H440" s="6">
        <v>64</v>
      </c>
      <c r="I440" s="5">
        <f>SUM(F440:H440)</f>
        <v>198</v>
      </c>
      <c r="J440" s="7">
        <f>AVERAGE(F440:H440)</f>
        <v>66</v>
      </c>
      <c r="K440" s="8">
        <f>I440/300</f>
        <v>0.66</v>
      </c>
      <c r="L440" s="5">
        <f>_xlfn.RANK.EQ(J440,$J$2:$J$1001,0)</f>
        <v>562</v>
      </c>
    </row>
    <row r="441" spans="1:12" x14ac:dyDescent="0.3">
      <c r="A441" s="5" t="s">
        <v>8</v>
      </c>
      <c r="B441" s="5" t="s">
        <v>13</v>
      </c>
      <c r="C441" s="5" t="s">
        <v>19</v>
      </c>
      <c r="D441" s="5" t="s">
        <v>11</v>
      </c>
      <c r="E441" s="5" t="s">
        <v>12</v>
      </c>
      <c r="F441" s="5">
        <v>58</v>
      </c>
      <c r="G441" s="5">
        <v>73</v>
      </c>
      <c r="H441" s="6">
        <v>68</v>
      </c>
      <c r="I441" s="5">
        <f>SUM(F441:H441)</f>
        <v>199</v>
      </c>
      <c r="J441" s="7">
        <f>AVERAGE(F441:H441)</f>
        <v>66.333333333333329</v>
      </c>
      <c r="K441" s="8">
        <f>I441/300</f>
        <v>0.66333333333333333</v>
      </c>
      <c r="L441" s="5">
        <f>_xlfn.RANK.EQ(J441,$J$2:$J$1001,0)</f>
        <v>557</v>
      </c>
    </row>
    <row r="442" spans="1:12" x14ac:dyDescent="0.3">
      <c r="A442" s="5" t="s">
        <v>17</v>
      </c>
      <c r="B442" s="5" t="s">
        <v>24</v>
      </c>
      <c r="C442" s="5" t="s">
        <v>19</v>
      </c>
      <c r="D442" s="5" t="s">
        <v>11</v>
      </c>
      <c r="E442" s="5" t="s">
        <v>12</v>
      </c>
      <c r="F442" s="5">
        <v>72</v>
      </c>
      <c r="G442" s="5">
        <v>64</v>
      </c>
      <c r="H442" s="6">
        <v>63</v>
      </c>
      <c r="I442" s="5">
        <f>SUM(F442:H442)</f>
        <v>199</v>
      </c>
      <c r="J442" s="7">
        <f>AVERAGE(F442:H442)</f>
        <v>66.333333333333329</v>
      </c>
      <c r="K442" s="8">
        <f>I442/300</f>
        <v>0.66333333333333333</v>
      </c>
      <c r="L442" s="5">
        <f>_xlfn.RANK.EQ(J442,$J$2:$J$1001,0)</f>
        <v>557</v>
      </c>
    </row>
    <row r="443" spans="1:12" x14ac:dyDescent="0.3">
      <c r="A443" s="5" t="s">
        <v>17</v>
      </c>
      <c r="B443" s="5" t="s">
        <v>24</v>
      </c>
      <c r="C443" s="5" t="s">
        <v>23</v>
      </c>
      <c r="D443" s="5" t="s">
        <v>20</v>
      </c>
      <c r="E443" s="5" t="s">
        <v>15</v>
      </c>
      <c r="F443" s="5">
        <v>73</v>
      </c>
      <c r="G443" s="5">
        <v>67</v>
      </c>
      <c r="H443" s="6">
        <v>59</v>
      </c>
      <c r="I443" s="5">
        <f>SUM(F443:H443)</f>
        <v>199</v>
      </c>
      <c r="J443" s="7">
        <f>AVERAGE(F443:H443)</f>
        <v>66.333333333333329</v>
      </c>
      <c r="K443" s="8">
        <f>I443/300</f>
        <v>0.66333333333333333</v>
      </c>
      <c r="L443" s="5">
        <f>_xlfn.RANK.EQ(J443,$J$2:$J$1001,0)</f>
        <v>557</v>
      </c>
    </row>
    <row r="444" spans="1:12" x14ac:dyDescent="0.3">
      <c r="A444" s="5" t="s">
        <v>17</v>
      </c>
      <c r="B444" s="5" t="s">
        <v>18</v>
      </c>
      <c r="C444" s="5" t="s">
        <v>10</v>
      </c>
      <c r="D444" s="5" t="s">
        <v>20</v>
      </c>
      <c r="E444" s="5" t="s">
        <v>12</v>
      </c>
      <c r="F444" s="5">
        <v>62</v>
      </c>
      <c r="G444" s="5">
        <v>72</v>
      </c>
      <c r="H444" s="6">
        <v>65</v>
      </c>
      <c r="I444" s="5">
        <f>SUM(F444:H444)</f>
        <v>199</v>
      </c>
      <c r="J444" s="7">
        <f>AVERAGE(F444:H444)</f>
        <v>66.333333333333329</v>
      </c>
      <c r="K444" s="8">
        <f>I444/300</f>
        <v>0.66333333333333333</v>
      </c>
      <c r="L444" s="5">
        <f>_xlfn.RANK.EQ(J444,$J$2:$J$1001,0)</f>
        <v>557</v>
      </c>
    </row>
    <row r="445" spans="1:12" x14ac:dyDescent="0.3">
      <c r="A445" s="5" t="s">
        <v>8</v>
      </c>
      <c r="B445" s="5" t="s">
        <v>13</v>
      </c>
      <c r="C445" s="5" t="s">
        <v>22</v>
      </c>
      <c r="D445" s="5" t="s">
        <v>11</v>
      </c>
      <c r="E445" s="5" t="s">
        <v>12</v>
      </c>
      <c r="F445" s="5">
        <v>59</v>
      </c>
      <c r="G445" s="5">
        <v>72</v>
      </c>
      <c r="H445" s="6">
        <v>68</v>
      </c>
      <c r="I445" s="5">
        <f>SUM(F445:H445)</f>
        <v>199</v>
      </c>
      <c r="J445" s="7">
        <f>AVERAGE(F445:H445)</f>
        <v>66.333333333333329</v>
      </c>
      <c r="K445" s="8">
        <f>I445/300</f>
        <v>0.66333333333333333</v>
      </c>
      <c r="L445" s="5">
        <f>_xlfn.RANK.EQ(J445,$J$2:$J$1001,0)</f>
        <v>557</v>
      </c>
    </row>
    <row r="446" spans="1:12" x14ac:dyDescent="0.3">
      <c r="A446" s="5" t="s">
        <v>8</v>
      </c>
      <c r="B446" s="5" t="s">
        <v>13</v>
      </c>
      <c r="C446" s="5" t="s">
        <v>19</v>
      </c>
      <c r="D446" s="5" t="s">
        <v>11</v>
      </c>
      <c r="E446" s="5" t="s">
        <v>12</v>
      </c>
      <c r="F446" s="5">
        <v>63</v>
      </c>
      <c r="G446" s="5">
        <v>67</v>
      </c>
      <c r="H446" s="6">
        <v>70</v>
      </c>
      <c r="I446" s="5">
        <f>SUM(F446:H446)</f>
        <v>200</v>
      </c>
      <c r="J446" s="7">
        <f>AVERAGE(F446:H446)</f>
        <v>66.666666666666671</v>
      </c>
      <c r="K446" s="8">
        <f>I446/300</f>
        <v>0.66666666666666663</v>
      </c>
      <c r="L446" s="5">
        <f>_xlfn.RANK.EQ(J446,$J$2:$J$1001,0)</f>
        <v>549</v>
      </c>
    </row>
    <row r="447" spans="1:12" x14ac:dyDescent="0.3">
      <c r="A447" s="5" t="s">
        <v>8</v>
      </c>
      <c r="B447" s="5" t="s">
        <v>24</v>
      </c>
      <c r="C447" s="5" t="s">
        <v>19</v>
      </c>
      <c r="D447" s="5" t="s">
        <v>11</v>
      </c>
      <c r="E447" s="5" t="s">
        <v>12</v>
      </c>
      <c r="F447" s="5">
        <v>66</v>
      </c>
      <c r="G447" s="5">
        <v>65</v>
      </c>
      <c r="H447" s="6">
        <v>69</v>
      </c>
      <c r="I447" s="5">
        <f>SUM(F447:H447)</f>
        <v>200</v>
      </c>
      <c r="J447" s="7">
        <f>AVERAGE(F447:H447)</f>
        <v>66.666666666666671</v>
      </c>
      <c r="K447" s="8">
        <f>I447/300</f>
        <v>0.66666666666666663</v>
      </c>
      <c r="L447" s="5">
        <f>_xlfn.RANK.EQ(J447,$J$2:$J$1001,0)</f>
        <v>549</v>
      </c>
    </row>
    <row r="448" spans="1:12" x14ac:dyDescent="0.3">
      <c r="A448" s="5" t="s">
        <v>8</v>
      </c>
      <c r="B448" s="5" t="s">
        <v>9</v>
      </c>
      <c r="C448" s="5" t="s">
        <v>23</v>
      </c>
      <c r="D448" s="5" t="s">
        <v>11</v>
      </c>
      <c r="E448" s="5" t="s">
        <v>15</v>
      </c>
      <c r="F448" s="5">
        <v>60</v>
      </c>
      <c r="G448" s="5">
        <v>70</v>
      </c>
      <c r="H448" s="6">
        <v>70</v>
      </c>
      <c r="I448" s="5">
        <f>SUM(F448:H448)</f>
        <v>200</v>
      </c>
      <c r="J448" s="7">
        <f>AVERAGE(F448:H448)</f>
        <v>66.666666666666671</v>
      </c>
      <c r="K448" s="8">
        <f>I448/300</f>
        <v>0.66666666666666663</v>
      </c>
      <c r="L448" s="5">
        <f>_xlfn.RANK.EQ(J448,$J$2:$J$1001,0)</f>
        <v>549</v>
      </c>
    </row>
    <row r="449" spans="1:12" x14ac:dyDescent="0.3">
      <c r="A449" s="5" t="s">
        <v>8</v>
      </c>
      <c r="B449" s="5" t="s">
        <v>13</v>
      </c>
      <c r="C449" s="5" t="s">
        <v>14</v>
      </c>
      <c r="D449" s="5" t="s">
        <v>11</v>
      </c>
      <c r="E449" s="5" t="s">
        <v>12</v>
      </c>
      <c r="F449" s="5">
        <v>59</v>
      </c>
      <c r="G449" s="5">
        <v>71</v>
      </c>
      <c r="H449" s="6">
        <v>70</v>
      </c>
      <c r="I449" s="5">
        <f>SUM(F449:H449)</f>
        <v>200</v>
      </c>
      <c r="J449" s="7">
        <f>AVERAGE(F449:H449)</f>
        <v>66.666666666666671</v>
      </c>
      <c r="K449" s="8">
        <f>I449/300</f>
        <v>0.66666666666666663</v>
      </c>
      <c r="L449" s="5">
        <f>_xlfn.RANK.EQ(J449,$J$2:$J$1001,0)</f>
        <v>549</v>
      </c>
    </row>
    <row r="450" spans="1:12" x14ac:dyDescent="0.3">
      <c r="A450" s="5" t="s">
        <v>17</v>
      </c>
      <c r="B450" s="5" t="s">
        <v>24</v>
      </c>
      <c r="C450" s="5" t="s">
        <v>10</v>
      </c>
      <c r="D450" s="5" t="s">
        <v>11</v>
      </c>
      <c r="E450" s="5" t="s">
        <v>12</v>
      </c>
      <c r="F450" s="5">
        <v>68</v>
      </c>
      <c r="G450" s="5">
        <v>68</v>
      </c>
      <c r="H450" s="6">
        <v>64</v>
      </c>
      <c r="I450" s="5">
        <f>SUM(F450:H450)</f>
        <v>200</v>
      </c>
      <c r="J450" s="7">
        <f>AVERAGE(F450:H450)</f>
        <v>66.666666666666671</v>
      </c>
      <c r="K450" s="8">
        <f>I450/300</f>
        <v>0.66666666666666663</v>
      </c>
      <c r="L450" s="5">
        <f>_xlfn.RANK.EQ(J450,$J$2:$J$1001,0)</f>
        <v>549</v>
      </c>
    </row>
    <row r="451" spans="1:12" x14ac:dyDescent="0.3">
      <c r="A451" s="5" t="s">
        <v>8</v>
      </c>
      <c r="B451" s="5" t="s">
        <v>13</v>
      </c>
      <c r="C451" s="5" t="s">
        <v>22</v>
      </c>
      <c r="D451" s="5" t="s">
        <v>11</v>
      </c>
      <c r="E451" s="5" t="s">
        <v>12</v>
      </c>
      <c r="F451" s="5">
        <v>60</v>
      </c>
      <c r="G451" s="5">
        <v>68</v>
      </c>
      <c r="H451" s="6">
        <v>72</v>
      </c>
      <c r="I451" s="5">
        <f>SUM(F451:H451)</f>
        <v>200</v>
      </c>
      <c r="J451" s="7">
        <f>AVERAGE(F451:H451)</f>
        <v>66.666666666666671</v>
      </c>
      <c r="K451" s="8">
        <f>I451/300</f>
        <v>0.66666666666666663</v>
      </c>
      <c r="L451" s="5">
        <f>_xlfn.RANK.EQ(J451,$J$2:$J$1001,0)</f>
        <v>549</v>
      </c>
    </row>
    <row r="452" spans="1:12" x14ac:dyDescent="0.3">
      <c r="A452" s="5" t="s">
        <v>8</v>
      </c>
      <c r="B452" s="5" t="s">
        <v>9</v>
      </c>
      <c r="C452" s="5" t="s">
        <v>22</v>
      </c>
      <c r="D452" s="5" t="s">
        <v>20</v>
      </c>
      <c r="E452" s="5" t="s">
        <v>12</v>
      </c>
      <c r="F452" s="5">
        <v>60</v>
      </c>
      <c r="G452" s="5">
        <v>72</v>
      </c>
      <c r="H452" s="6">
        <v>68</v>
      </c>
      <c r="I452" s="5">
        <f>SUM(F452:H452)</f>
        <v>200</v>
      </c>
      <c r="J452" s="7">
        <f>AVERAGE(F452:H452)</f>
        <v>66.666666666666671</v>
      </c>
      <c r="K452" s="8">
        <f>I452/300</f>
        <v>0.66666666666666663</v>
      </c>
      <c r="L452" s="5">
        <f>_xlfn.RANK.EQ(J452,$J$2:$J$1001,0)</f>
        <v>549</v>
      </c>
    </row>
    <row r="453" spans="1:12" x14ac:dyDescent="0.3">
      <c r="A453" s="5" t="s">
        <v>8</v>
      </c>
      <c r="B453" s="5" t="s">
        <v>13</v>
      </c>
      <c r="C453" s="5" t="s">
        <v>14</v>
      </c>
      <c r="D453" s="5" t="s">
        <v>11</v>
      </c>
      <c r="E453" s="5" t="s">
        <v>12</v>
      </c>
      <c r="F453" s="5">
        <v>62</v>
      </c>
      <c r="G453" s="5">
        <v>69</v>
      </c>
      <c r="H453" s="6">
        <v>69</v>
      </c>
      <c r="I453" s="5">
        <f>SUM(F453:H453)</f>
        <v>200</v>
      </c>
      <c r="J453" s="7">
        <f>AVERAGE(F453:H453)</f>
        <v>66.666666666666671</v>
      </c>
      <c r="K453" s="8">
        <f>I453/300</f>
        <v>0.66666666666666663</v>
      </c>
      <c r="L453" s="5">
        <f>_xlfn.RANK.EQ(J453,$J$2:$J$1001,0)</f>
        <v>549</v>
      </c>
    </row>
    <row r="454" spans="1:12" x14ac:dyDescent="0.3">
      <c r="A454" s="5" t="s">
        <v>17</v>
      </c>
      <c r="B454" s="5" t="s">
        <v>21</v>
      </c>
      <c r="C454" s="5" t="s">
        <v>14</v>
      </c>
      <c r="D454" s="5" t="s">
        <v>11</v>
      </c>
      <c r="E454" s="5" t="s">
        <v>15</v>
      </c>
      <c r="F454" s="5">
        <v>71</v>
      </c>
      <c r="G454" s="5">
        <v>61</v>
      </c>
      <c r="H454" s="6">
        <v>69</v>
      </c>
      <c r="I454" s="5">
        <f>SUM(F454:H454)</f>
        <v>201</v>
      </c>
      <c r="J454" s="7">
        <f>AVERAGE(F454:H454)</f>
        <v>67</v>
      </c>
      <c r="K454" s="8">
        <f>I454/300</f>
        <v>0.67</v>
      </c>
      <c r="L454" s="5">
        <f>_xlfn.RANK.EQ(J454,$J$2:$J$1001,0)</f>
        <v>540</v>
      </c>
    </row>
    <row r="455" spans="1:12" x14ac:dyDescent="0.3">
      <c r="A455" s="5" t="s">
        <v>17</v>
      </c>
      <c r="B455" s="5" t="s">
        <v>21</v>
      </c>
      <c r="C455" s="5" t="s">
        <v>14</v>
      </c>
      <c r="D455" s="5" t="s">
        <v>11</v>
      </c>
      <c r="E455" s="5" t="s">
        <v>15</v>
      </c>
      <c r="F455" s="5">
        <v>77</v>
      </c>
      <c r="G455" s="5">
        <v>62</v>
      </c>
      <c r="H455" s="6">
        <v>62</v>
      </c>
      <c r="I455" s="5">
        <f>SUM(F455:H455)</f>
        <v>201</v>
      </c>
      <c r="J455" s="7">
        <f>AVERAGE(F455:H455)</f>
        <v>67</v>
      </c>
      <c r="K455" s="8">
        <f>I455/300</f>
        <v>0.67</v>
      </c>
      <c r="L455" s="5">
        <f>_xlfn.RANK.EQ(J455,$J$2:$J$1001,0)</f>
        <v>540</v>
      </c>
    </row>
    <row r="456" spans="1:12" x14ac:dyDescent="0.3">
      <c r="A456" s="5" t="s">
        <v>8</v>
      </c>
      <c r="B456" s="5" t="s">
        <v>18</v>
      </c>
      <c r="C456" s="5" t="s">
        <v>23</v>
      </c>
      <c r="D456" s="5" t="s">
        <v>20</v>
      </c>
      <c r="E456" s="5" t="s">
        <v>12</v>
      </c>
      <c r="F456" s="5">
        <v>59</v>
      </c>
      <c r="G456" s="5">
        <v>73</v>
      </c>
      <c r="H456" s="6">
        <v>69</v>
      </c>
      <c r="I456" s="5">
        <f>SUM(F456:H456)</f>
        <v>201</v>
      </c>
      <c r="J456" s="7">
        <f>AVERAGE(F456:H456)</f>
        <v>67</v>
      </c>
      <c r="K456" s="8">
        <f>I456/300</f>
        <v>0.67</v>
      </c>
      <c r="L456" s="5">
        <f>_xlfn.RANK.EQ(J456,$J$2:$J$1001,0)</f>
        <v>540</v>
      </c>
    </row>
    <row r="457" spans="1:12" x14ac:dyDescent="0.3">
      <c r="A457" s="5" t="s">
        <v>17</v>
      </c>
      <c r="B457" s="5" t="s">
        <v>21</v>
      </c>
      <c r="C457" s="5" t="s">
        <v>23</v>
      </c>
      <c r="D457" s="5" t="s">
        <v>11</v>
      </c>
      <c r="E457" s="5" t="s">
        <v>12</v>
      </c>
      <c r="F457" s="5">
        <v>73</v>
      </c>
      <c r="G457" s="5">
        <v>66</v>
      </c>
      <c r="H457" s="6">
        <v>62</v>
      </c>
      <c r="I457" s="5">
        <f>SUM(F457:H457)</f>
        <v>201</v>
      </c>
      <c r="J457" s="7">
        <f>AVERAGE(F457:H457)</f>
        <v>67</v>
      </c>
      <c r="K457" s="8">
        <f>I457/300</f>
        <v>0.67</v>
      </c>
      <c r="L457" s="5">
        <f>_xlfn.RANK.EQ(J457,$J$2:$J$1001,0)</f>
        <v>540</v>
      </c>
    </row>
    <row r="458" spans="1:12" x14ac:dyDescent="0.3">
      <c r="A458" s="5" t="s">
        <v>8</v>
      </c>
      <c r="B458" s="5" t="s">
        <v>18</v>
      </c>
      <c r="C458" s="5" t="s">
        <v>22</v>
      </c>
      <c r="D458" s="5" t="s">
        <v>11</v>
      </c>
      <c r="E458" s="5" t="s">
        <v>12</v>
      </c>
      <c r="F458" s="5">
        <v>55</v>
      </c>
      <c r="G458" s="5">
        <v>73</v>
      </c>
      <c r="H458" s="6">
        <v>73</v>
      </c>
      <c r="I458" s="5">
        <f>SUM(F458:H458)</f>
        <v>201</v>
      </c>
      <c r="J458" s="7">
        <f>AVERAGE(F458:H458)</f>
        <v>67</v>
      </c>
      <c r="K458" s="8">
        <f>I458/300</f>
        <v>0.67</v>
      </c>
      <c r="L458" s="5">
        <f>_xlfn.RANK.EQ(J458,$J$2:$J$1001,0)</f>
        <v>540</v>
      </c>
    </row>
    <row r="459" spans="1:12" x14ac:dyDescent="0.3">
      <c r="A459" s="5" t="s">
        <v>17</v>
      </c>
      <c r="B459" s="5" t="s">
        <v>21</v>
      </c>
      <c r="C459" s="5" t="s">
        <v>14</v>
      </c>
      <c r="D459" s="5" t="s">
        <v>11</v>
      </c>
      <c r="E459" s="5" t="s">
        <v>12</v>
      </c>
      <c r="F459" s="5">
        <v>67</v>
      </c>
      <c r="G459" s="5">
        <v>64</v>
      </c>
      <c r="H459" s="6">
        <v>70</v>
      </c>
      <c r="I459" s="5">
        <f>SUM(F459:H459)</f>
        <v>201</v>
      </c>
      <c r="J459" s="7">
        <f>AVERAGE(F459:H459)</f>
        <v>67</v>
      </c>
      <c r="K459" s="8">
        <f>I459/300</f>
        <v>0.67</v>
      </c>
      <c r="L459" s="5">
        <f>_xlfn.RANK.EQ(J459,$J$2:$J$1001,0)</f>
        <v>540</v>
      </c>
    </row>
    <row r="460" spans="1:12" x14ac:dyDescent="0.3">
      <c r="A460" s="5" t="s">
        <v>8</v>
      </c>
      <c r="B460" s="5" t="s">
        <v>13</v>
      </c>
      <c r="C460" s="5" t="s">
        <v>22</v>
      </c>
      <c r="D460" s="5" t="s">
        <v>11</v>
      </c>
      <c r="E460" s="5" t="s">
        <v>12</v>
      </c>
      <c r="F460" s="5">
        <v>65</v>
      </c>
      <c r="G460" s="5">
        <v>69</v>
      </c>
      <c r="H460" s="6">
        <v>67</v>
      </c>
      <c r="I460" s="5">
        <f>SUM(F460:H460)</f>
        <v>201</v>
      </c>
      <c r="J460" s="7">
        <f>AVERAGE(F460:H460)</f>
        <v>67</v>
      </c>
      <c r="K460" s="8">
        <f>I460/300</f>
        <v>0.67</v>
      </c>
      <c r="L460" s="5">
        <f>_xlfn.RANK.EQ(J460,$J$2:$J$1001,0)</f>
        <v>540</v>
      </c>
    </row>
    <row r="461" spans="1:12" x14ac:dyDescent="0.3">
      <c r="A461" s="5" t="s">
        <v>8</v>
      </c>
      <c r="B461" s="5" t="s">
        <v>18</v>
      </c>
      <c r="C461" s="5" t="s">
        <v>10</v>
      </c>
      <c r="D461" s="5" t="s">
        <v>11</v>
      </c>
      <c r="E461" s="5" t="s">
        <v>12</v>
      </c>
      <c r="F461" s="5">
        <v>59</v>
      </c>
      <c r="G461" s="5">
        <v>72</v>
      </c>
      <c r="H461" s="6">
        <v>70</v>
      </c>
      <c r="I461" s="5">
        <f>SUM(F461:H461)</f>
        <v>201</v>
      </c>
      <c r="J461" s="7">
        <f>AVERAGE(F461:H461)</f>
        <v>67</v>
      </c>
      <c r="K461" s="8">
        <f>I461/300</f>
        <v>0.67</v>
      </c>
      <c r="L461" s="5">
        <f>_xlfn.RANK.EQ(J461,$J$2:$J$1001,0)</f>
        <v>540</v>
      </c>
    </row>
    <row r="462" spans="1:12" x14ac:dyDescent="0.3">
      <c r="A462" s="5" t="s">
        <v>17</v>
      </c>
      <c r="B462" s="5" t="s">
        <v>13</v>
      </c>
      <c r="C462" s="5" t="s">
        <v>14</v>
      </c>
      <c r="D462" s="5" t="s">
        <v>11</v>
      </c>
      <c r="E462" s="5" t="s">
        <v>12</v>
      </c>
      <c r="F462" s="5">
        <v>69</v>
      </c>
      <c r="G462" s="5">
        <v>64</v>
      </c>
      <c r="H462" s="6">
        <v>68</v>
      </c>
      <c r="I462" s="5">
        <f>SUM(F462:H462)</f>
        <v>201</v>
      </c>
      <c r="J462" s="7">
        <f>AVERAGE(F462:H462)</f>
        <v>67</v>
      </c>
      <c r="K462" s="8">
        <f>I462/300</f>
        <v>0.67</v>
      </c>
      <c r="L462" s="5">
        <f>_xlfn.RANK.EQ(J462,$J$2:$J$1001,0)</f>
        <v>540</v>
      </c>
    </row>
    <row r="463" spans="1:12" x14ac:dyDescent="0.3">
      <c r="A463" s="5" t="s">
        <v>17</v>
      </c>
      <c r="B463" s="5" t="s">
        <v>13</v>
      </c>
      <c r="C463" s="5" t="s">
        <v>22</v>
      </c>
      <c r="D463" s="5" t="s">
        <v>11</v>
      </c>
      <c r="E463" s="5" t="s">
        <v>12</v>
      </c>
      <c r="F463" s="5">
        <v>71</v>
      </c>
      <c r="G463" s="5">
        <v>66</v>
      </c>
      <c r="H463" s="6">
        <v>65</v>
      </c>
      <c r="I463" s="5">
        <f>SUM(F463:H463)</f>
        <v>202</v>
      </c>
      <c r="J463" s="7">
        <f>AVERAGE(F463:H463)</f>
        <v>67.333333333333329</v>
      </c>
      <c r="K463" s="8">
        <f>I463/300</f>
        <v>0.67333333333333334</v>
      </c>
      <c r="L463" s="5">
        <f>_xlfn.RANK.EQ(J463,$J$2:$J$1001,0)</f>
        <v>534</v>
      </c>
    </row>
    <row r="464" spans="1:12" x14ac:dyDescent="0.3">
      <c r="A464" s="5" t="s">
        <v>8</v>
      </c>
      <c r="B464" s="5" t="s">
        <v>21</v>
      </c>
      <c r="C464" s="5" t="s">
        <v>10</v>
      </c>
      <c r="D464" s="5" t="s">
        <v>11</v>
      </c>
      <c r="E464" s="5" t="s">
        <v>12</v>
      </c>
      <c r="F464" s="5">
        <v>59</v>
      </c>
      <c r="G464" s="5">
        <v>70</v>
      </c>
      <c r="H464" s="6">
        <v>73</v>
      </c>
      <c r="I464" s="5">
        <f>SUM(F464:H464)</f>
        <v>202</v>
      </c>
      <c r="J464" s="7">
        <f>AVERAGE(F464:H464)</f>
        <v>67.333333333333329</v>
      </c>
      <c r="K464" s="8">
        <f>I464/300</f>
        <v>0.67333333333333334</v>
      </c>
      <c r="L464" s="5">
        <f>_xlfn.RANK.EQ(J464,$J$2:$J$1001,0)</f>
        <v>534</v>
      </c>
    </row>
    <row r="465" spans="1:12" x14ac:dyDescent="0.3">
      <c r="A465" s="5" t="s">
        <v>8</v>
      </c>
      <c r="B465" s="5" t="s">
        <v>13</v>
      </c>
      <c r="C465" s="5" t="s">
        <v>19</v>
      </c>
      <c r="D465" s="5" t="s">
        <v>20</v>
      </c>
      <c r="E465" s="5" t="s">
        <v>12</v>
      </c>
      <c r="F465" s="5">
        <v>57</v>
      </c>
      <c r="G465" s="5">
        <v>78</v>
      </c>
      <c r="H465" s="6">
        <v>67</v>
      </c>
      <c r="I465" s="5">
        <f>SUM(F465:H465)</f>
        <v>202</v>
      </c>
      <c r="J465" s="7">
        <f>AVERAGE(F465:H465)</f>
        <v>67.333333333333329</v>
      </c>
      <c r="K465" s="8">
        <f>I465/300</f>
        <v>0.67333333333333334</v>
      </c>
      <c r="L465" s="5">
        <f>_xlfn.RANK.EQ(J465,$J$2:$J$1001,0)</f>
        <v>534</v>
      </c>
    </row>
    <row r="466" spans="1:12" x14ac:dyDescent="0.3">
      <c r="A466" s="5" t="s">
        <v>8</v>
      </c>
      <c r="B466" s="5" t="s">
        <v>13</v>
      </c>
      <c r="C466" s="5" t="s">
        <v>10</v>
      </c>
      <c r="D466" s="5" t="s">
        <v>20</v>
      </c>
      <c r="E466" s="5" t="s">
        <v>15</v>
      </c>
      <c r="F466" s="5">
        <v>51</v>
      </c>
      <c r="G466" s="5">
        <v>72</v>
      </c>
      <c r="H466" s="6">
        <v>79</v>
      </c>
      <c r="I466" s="5">
        <f>SUM(F466:H466)</f>
        <v>202</v>
      </c>
      <c r="J466" s="7">
        <f>AVERAGE(F466:H466)</f>
        <v>67.333333333333329</v>
      </c>
      <c r="K466" s="8">
        <f>I466/300</f>
        <v>0.67333333333333334</v>
      </c>
      <c r="L466" s="5">
        <f>_xlfn.RANK.EQ(J466,$J$2:$J$1001,0)</f>
        <v>534</v>
      </c>
    </row>
    <row r="467" spans="1:12" x14ac:dyDescent="0.3">
      <c r="A467" s="5" t="s">
        <v>17</v>
      </c>
      <c r="B467" s="5" t="s">
        <v>9</v>
      </c>
      <c r="C467" s="5" t="s">
        <v>19</v>
      </c>
      <c r="D467" s="5" t="s">
        <v>20</v>
      </c>
      <c r="E467" s="5" t="s">
        <v>15</v>
      </c>
      <c r="F467" s="5">
        <v>69</v>
      </c>
      <c r="G467" s="5">
        <v>70</v>
      </c>
      <c r="H467" s="6">
        <v>63</v>
      </c>
      <c r="I467" s="5">
        <f>SUM(F467:H467)</f>
        <v>202</v>
      </c>
      <c r="J467" s="7">
        <f>AVERAGE(F467:H467)</f>
        <v>67.333333333333329</v>
      </c>
      <c r="K467" s="8">
        <f>I467/300</f>
        <v>0.67333333333333334</v>
      </c>
      <c r="L467" s="5">
        <f>_xlfn.RANK.EQ(J467,$J$2:$J$1001,0)</f>
        <v>534</v>
      </c>
    </row>
    <row r="468" spans="1:12" x14ac:dyDescent="0.3">
      <c r="A468" s="5" t="s">
        <v>17</v>
      </c>
      <c r="B468" s="5" t="s">
        <v>13</v>
      </c>
      <c r="C468" s="5" t="s">
        <v>23</v>
      </c>
      <c r="D468" s="5" t="s">
        <v>11</v>
      </c>
      <c r="E468" s="5" t="s">
        <v>12</v>
      </c>
      <c r="F468" s="5">
        <v>73</v>
      </c>
      <c r="G468" s="5">
        <v>66</v>
      </c>
      <c r="H468" s="6">
        <v>63</v>
      </c>
      <c r="I468" s="5">
        <f>SUM(F468:H468)</f>
        <v>202</v>
      </c>
      <c r="J468" s="7">
        <f>AVERAGE(F468:H468)</f>
        <v>67.333333333333329</v>
      </c>
      <c r="K468" s="8">
        <f>I468/300</f>
        <v>0.67333333333333334</v>
      </c>
      <c r="L468" s="5">
        <f>_xlfn.RANK.EQ(J468,$J$2:$J$1001,0)</f>
        <v>534</v>
      </c>
    </row>
    <row r="469" spans="1:12" x14ac:dyDescent="0.3">
      <c r="A469" s="5" t="s">
        <v>17</v>
      </c>
      <c r="B469" s="5" t="s">
        <v>9</v>
      </c>
      <c r="C469" s="5" t="s">
        <v>10</v>
      </c>
      <c r="D469" s="5" t="s">
        <v>11</v>
      </c>
      <c r="E469" s="5" t="s">
        <v>12</v>
      </c>
      <c r="F469" s="5">
        <v>63</v>
      </c>
      <c r="G469" s="5">
        <v>71</v>
      </c>
      <c r="H469" s="6">
        <v>69</v>
      </c>
      <c r="I469" s="5">
        <f>SUM(F469:H469)</f>
        <v>203</v>
      </c>
      <c r="J469" s="7">
        <f>AVERAGE(F469:H469)</f>
        <v>67.666666666666671</v>
      </c>
      <c r="K469" s="8">
        <f>I469/300</f>
        <v>0.67666666666666664</v>
      </c>
      <c r="L469" s="5">
        <f>_xlfn.RANK.EQ(J469,$J$2:$J$1001,0)</f>
        <v>527</v>
      </c>
    </row>
    <row r="470" spans="1:12" x14ac:dyDescent="0.3">
      <c r="A470" s="5" t="s">
        <v>8</v>
      </c>
      <c r="B470" s="5" t="s">
        <v>9</v>
      </c>
      <c r="C470" s="5" t="s">
        <v>10</v>
      </c>
      <c r="D470" s="5" t="s">
        <v>11</v>
      </c>
      <c r="E470" s="5" t="s">
        <v>12</v>
      </c>
      <c r="F470" s="5">
        <v>61</v>
      </c>
      <c r="G470" s="5">
        <v>72</v>
      </c>
      <c r="H470" s="6">
        <v>70</v>
      </c>
      <c r="I470" s="5">
        <f>SUM(F470:H470)</f>
        <v>203</v>
      </c>
      <c r="J470" s="7">
        <f>AVERAGE(F470:H470)</f>
        <v>67.666666666666671</v>
      </c>
      <c r="K470" s="8">
        <f>I470/300</f>
        <v>0.67666666666666664</v>
      </c>
      <c r="L470" s="5">
        <f>_xlfn.RANK.EQ(J470,$J$2:$J$1001,0)</f>
        <v>527</v>
      </c>
    </row>
    <row r="471" spans="1:12" x14ac:dyDescent="0.3">
      <c r="A471" s="5" t="s">
        <v>8</v>
      </c>
      <c r="B471" s="5" t="s">
        <v>13</v>
      </c>
      <c r="C471" s="5" t="s">
        <v>22</v>
      </c>
      <c r="D471" s="5" t="s">
        <v>11</v>
      </c>
      <c r="E471" s="5" t="s">
        <v>12</v>
      </c>
      <c r="F471" s="5">
        <v>61</v>
      </c>
      <c r="G471" s="5">
        <v>72</v>
      </c>
      <c r="H471" s="6">
        <v>70</v>
      </c>
      <c r="I471" s="5">
        <f>SUM(F471:H471)</f>
        <v>203</v>
      </c>
      <c r="J471" s="7">
        <f>AVERAGE(F471:H471)</f>
        <v>67.666666666666671</v>
      </c>
      <c r="K471" s="8">
        <f>I471/300</f>
        <v>0.67666666666666664</v>
      </c>
      <c r="L471" s="5">
        <f>_xlfn.RANK.EQ(J471,$J$2:$J$1001,0)</f>
        <v>527</v>
      </c>
    </row>
    <row r="472" spans="1:12" x14ac:dyDescent="0.3">
      <c r="A472" s="5" t="s">
        <v>8</v>
      </c>
      <c r="B472" s="5" t="s">
        <v>9</v>
      </c>
      <c r="C472" s="5" t="s">
        <v>23</v>
      </c>
      <c r="D472" s="5" t="s">
        <v>11</v>
      </c>
      <c r="E472" s="5" t="s">
        <v>12</v>
      </c>
      <c r="F472" s="5">
        <v>66</v>
      </c>
      <c r="G472" s="5">
        <v>69</v>
      </c>
      <c r="H472" s="6">
        <v>68</v>
      </c>
      <c r="I472" s="5">
        <f>SUM(F472:H472)</f>
        <v>203</v>
      </c>
      <c r="J472" s="7">
        <f>AVERAGE(F472:H472)</f>
        <v>67.666666666666671</v>
      </c>
      <c r="K472" s="8">
        <f>I472/300</f>
        <v>0.67666666666666664</v>
      </c>
      <c r="L472" s="5">
        <f>_xlfn.RANK.EQ(J472,$J$2:$J$1001,0)</f>
        <v>527</v>
      </c>
    </row>
    <row r="473" spans="1:12" x14ac:dyDescent="0.3">
      <c r="A473" s="5" t="s">
        <v>17</v>
      </c>
      <c r="B473" s="5" t="s">
        <v>13</v>
      </c>
      <c r="C473" s="5" t="s">
        <v>22</v>
      </c>
      <c r="D473" s="5" t="s">
        <v>11</v>
      </c>
      <c r="E473" s="5" t="s">
        <v>15</v>
      </c>
      <c r="F473" s="5">
        <v>72</v>
      </c>
      <c r="G473" s="5">
        <v>67</v>
      </c>
      <c r="H473" s="6">
        <v>64</v>
      </c>
      <c r="I473" s="5">
        <f>SUM(F473:H473)</f>
        <v>203</v>
      </c>
      <c r="J473" s="7">
        <f>AVERAGE(F473:H473)</f>
        <v>67.666666666666671</v>
      </c>
      <c r="K473" s="8">
        <f>I473/300</f>
        <v>0.67666666666666664</v>
      </c>
      <c r="L473" s="5">
        <f>_xlfn.RANK.EQ(J473,$J$2:$J$1001,0)</f>
        <v>527</v>
      </c>
    </row>
    <row r="474" spans="1:12" x14ac:dyDescent="0.3">
      <c r="A474" s="5" t="s">
        <v>17</v>
      </c>
      <c r="B474" s="5" t="s">
        <v>21</v>
      </c>
      <c r="C474" s="5" t="s">
        <v>14</v>
      </c>
      <c r="D474" s="5" t="s">
        <v>20</v>
      </c>
      <c r="E474" s="5" t="s">
        <v>12</v>
      </c>
      <c r="F474" s="5">
        <v>77</v>
      </c>
      <c r="G474" s="5">
        <v>62</v>
      </c>
      <c r="H474" s="6">
        <v>64</v>
      </c>
      <c r="I474" s="5">
        <f>SUM(F474:H474)</f>
        <v>203</v>
      </c>
      <c r="J474" s="7">
        <f>AVERAGE(F474:H474)</f>
        <v>67.666666666666671</v>
      </c>
      <c r="K474" s="8">
        <f>I474/300</f>
        <v>0.67666666666666664</v>
      </c>
      <c r="L474" s="5">
        <f>_xlfn.RANK.EQ(J474,$J$2:$J$1001,0)</f>
        <v>527</v>
      </c>
    </row>
    <row r="475" spans="1:12" x14ac:dyDescent="0.3">
      <c r="A475" s="5" t="s">
        <v>17</v>
      </c>
      <c r="B475" s="5" t="s">
        <v>21</v>
      </c>
      <c r="C475" s="5" t="s">
        <v>10</v>
      </c>
      <c r="D475" s="5" t="s">
        <v>20</v>
      </c>
      <c r="E475" s="5" t="s">
        <v>12</v>
      </c>
      <c r="F475" s="5">
        <v>68</v>
      </c>
      <c r="G475" s="5">
        <v>68</v>
      </c>
      <c r="H475" s="6">
        <v>67</v>
      </c>
      <c r="I475" s="5">
        <f>SUM(F475:H475)</f>
        <v>203</v>
      </c>
      <c r="J475" s="7">
        <f>AVERAGE(F475:H475)</f>
        <v>67.666666666666671</v>
      </c>
      <c r="K475" s="8">
        <f>I475/300</f>
        <v>0.67666666666666664</v>
      </c>
      <c r="L475" s="5">
        <f>_xlfn.RANK.EQ(J475,$J$2:$J$1001,0)</f>
        <v>527</v>
      </c>
    </row>
    <row r="476" spans="1:12" x14ac:dyDescent="0.3">
      <c r="A476" s="5" t="s">
        <v>8</v>
      </c>
      <c r="B476" s="5" t="s">
        <v>21</v>
      </c>
      <c r="C476" s="5" t="s">
        <v>19</v>
      </c>
      <c r="D476" s="5" t="s">
        <v>11</v>
      </c>
      <c r="E476" s="5" t="s">
        <v>12</v>
      </c>
      <c r="F476" s="5">
        <v>65</v>
      </c>
      <c r="G476" s="5">
        <v>69</v>
      </c>
      <c r="H476" s="6">
        <v>70</v>
      </c>
      <c r="I476" s="5">
        <f>SUM(F476:H476)</f>
        <v>204</v>
      </c>
      <c r="J476" s="7">
        <f>AVERAGE(F476:H476)</f>
        <v>68</v>
      </c>
      <c r="K476" s="8">
        <f>I476/300</f>
        <v>0.68</v>
      </c>
      <c r="L476" s="5">
        <f>_xlfn.RANK.EQ(J476,$J$2:$J$1001,0)</f>
        <v>512</v>
      </c>
    </row>
    <row r="477" spans="1:12" x14ac:dyDescent="0.3">
      <c r="A477" s="5" t="s">
        <v>17</v>
      </c>
      <c r="B477" s="5" t="s">
        <v>18</v>
      </c>
      <c r="C477" s="5" t="s">
        <v>23</v>
      </c>
      <c r="D477" s="5" t="s">
        <v>20</v>
      </c>
      <c r="E477" s="5" t="s">
        <v>12</v>
      </c>
      <c r="F477" s="5">
        <v>68</v>
      </c>
      <c r="G477" s="5">
        <v>72</v>
      </c>
      <c r="H477" s="6">
        <v>64</v>
      </c>
      <c r="I477" s="5">
        <f>SUM(F477:H477)</f>
        <v>204</v>
      </c>
      <c r="J477" s="7">
        <f>AVERAGE(F477:H477)</f>
        <v>68</v>
      </c>
      <c r="K477" s="8">
        <f>I477/300</f>
        <v>0.68</v>
      </c>
      <c r="L477" s="5">
        <f>_xlfn.RANK.EQ(J477,$J$2:$J$1001,0)</f>
        <v>512</v>
      </c>
    </row>
    <row r="478" spans="1:12" x14ac:dyDescent="0.3">
      <c r="A478" s="5" t="s">
        <v>8</v>
      </c>
      <c r="B478" s="5" t="s">
        <v>13</v>
      </c>
      <c r="C478" s="5" t="s">
        <v>19</v>
      </c>
      <c r="D478" s="5" t="s">
        <v>20</v>
      </c>
      <c r="E478" s="5" t="s">
        <v>15</v>
      </c>
      <c r="F478" s="5">
        <v>68</v>
      </c>
      <c r="G478" s="5">
        <v>67</v>
      </c>
      <c r="H478" s="6">
        <v>69</v>
      </c>
      <c r="I478" s="5">
        <f>SUM(F478:H478)</f>
        <v>204</v>
      </c>
      <c r="J478" s="7">
        <f>AVERAGE(F478:H478)</f>
        <v>68</v>
      </c>
      <c r="K478" s="8">
        <f>I478/300</f>
        <v>0.68</v>
      </c>
      <c r="L478" s="5">
        <f>_xlfn.RANK.EQ(J478,$J$2:$J$1001,0)</f>
        <v>512</v>
      </c>
    </row>
    <row r="479" spans="1:12" x14ac:dyDescent="0.3">
      <c r="A479" s="5" t="s">
        <v>8</v>
      </c>
      <c r="B479" s="5" t="s">
        <v>13</v>
      </c>
      <c r="C479" s="5" t="s">
        <v>23</v>
      </c>
      <c r="D479" s="5" t="s">
        <v>11</v>
      </c>
      <c r="E479" s="5" t="s">
        <v>12</v>
      </c>
      <c r="F479" s="5">
        <v>63</v>
      </c>
      <c r="G479" s="5">
        <v>73</v>
      </c>
      <c r="H479" s="6">
        <v>68</v>
      </c>
      <c r="I479" s="5">
        <f>SUM(F479:H479)</f>
        <v>204</v>
      </c>
      <c r="J479" s="7">
        <f>AVERAGE(F479:H479)</f>
        <v>68</v>
      </c>
      <c r="K479" s="8">
        <f>I479/300</f>
        <v>0.68</v>
      </c>
      <c r="L479" s="5">
        <f>_xlfn.RANK.EQ(J479,$J$2:$J$1001,0)</f>
        <v>512</v>
      </c>
    </row>
    <row r="480" spans="1:12" x14ac:dyDescent="0.3">
      <c r="A480" s="5" t="s">
        <v>17</v>
      </c>
      <c r="B480" s="5" t="s">
        <v>18</v>
      </c>
      <c r="C480" s="5" t="s">
        <v>22</v>
      </c>
      <c r="D480" s="5" t="s">
        <v>20</v>
      </c>
      <c r="E480" s="5" t="s">
        <v>15</v>
      </c>
      <c r="F480" s="5">
        <v>72</v>
      </c>
      <c r="G480" s="5">
        <v>67</v>
      </c>
      <c r="H480" s="6">
        <v>65</v>
      </c>
      <c r="I480" s="5">
        <f>SUM(F480:H480)</f>
        <v>204</v>
      </c>
      <c r="J480" s="7">
        <f>AVERAGE(F480:H480)</f>
        <v>68</v>
      </c>
      <c r="K480" s="8">
        <f>I480/300</f>
        <v>0.68</v>
      </c>
      <c r="L480" s="5">
        <f>_xlfn.RANK.EQ(J480,$J$2:$J$1001,0)</f>
        <v>512</v>
      </c>
    </row>
    <row r="481" spans="1:12" x14ac:dyDescent="0.3">
      <c r="A481" s="5" t="s">
        <v>17</v>
      </c>
      <c r="B481" s="5" t="s">
        <v>24</v>
      </c>
      <c r="C481" s="5" t="s">
        <v>10</v>
      </c>
      <c r="D481" s="5" t="s">
        <v>11</v>
      </c>
      <c r="E481" s="5" t="s">
        <v>15</v>
      </c>
      <c r="F481" s="5">
        <v>76</v>
      </c>
      <c r="G481" s="5">
        <v>62</v>
      </c>
      <c r="H481" s="6">
        <v>66</v>
      </c>
      <c r="I481" s="5">
        <f>SUM(F481:H481)</f>
        <v>204</v>
      </c>
      <c r="J481" s="7">
        <f>AVERAGE(F481:H481)</f>
        <v>68</v>
      </c>
      <c r="K481" s="8">
        <f>I481/300</f>
        <v>0.68</v>
      </c>
      <c r="L481" s="5">
        <f>_xlfn.RANK.EQ(J481,$J$2:$J$1001,0)</f>
        <v>512</v>
      </c>
    </row>
    <row r="482" spans="1:12" x14ac:dyDescent="0.3">
      <c r="A482" s="5" t="s">
        <v>17</v>
      </c>
      <c r="B482" s="5" t="s">
        <v>18</v>
      </c>
      <c r="C482" s="5" t="s">
        <v>22</v>
      </c>
      <c r="D482" s="5" t="s">
        <v>11</v>
      </c>
      <c r="E482" s="5" t="s">
        <v>12</v>
      </c>
      <c r="F482" s="5">
        <v>68</v>
      </c>
      <c r="G482" s="5">
        <v>70</v>
      </c>
      <c r="H482" s="6">
        <v>66</v>
      </c>
      <c r="I482" s="5">
        <f>SUM(F482:H482)</f>
        <v>204</v>
      </c>
      <c r="J482" s="7">
        <f>AVERAGE(F482:H482)</f>
        <v>68</v>
      </c>
      <c r="K482" s="8">
        <f>I482/300</f>
        <v>0.68</v>
      </c>
      <c r="L482" s="5">
        <f>_xlfn.RANK.EQ(J482,$J$2:$J$1001,0)</f>
        <v>512</v>
      </c>
    </row>
    <row r="483" spans="1:12" x14ac:dyDescent="0.3">
      <c r="A483" s="5" t="s">
        <v>17</v>
      </c>
      <c r="B483" s="5" t="s">
        <v>9</v>
      </c>
      <c r="C483" s="5" t="s">
        <v>22</v>
      </c>
      <c r="D483" s="5" t="s">
        <v>11</v>
      </c>
      <c r="E483" s="5" t="s">
        <v>12</v>
      </c>
      <c r="F483" s="5">
        <v>79</v>
      </c>
      <c r="G483" s="5">
        <v>60</v>
      </c>
      <c r="H483" s="6">
        <v>65</v>
      </c>
      <c r="I483" s="5">
        <f>SUM(F483:H483)</f>
        <v>204</v>
      </c>
      <c r="J483" s="7">
        <f>AVERAGE(F483:H483)</f>
        <v>68</v>
      </c>
      <c r="K483" s="8">
        <f>I483/300</f>
        <v>0.68</v>
      </c>
      <c r="L483" s="5">
        <f>_xlfn.RANK.EQ(J483,$J$2:$J$1001,0)</f>
        <v>512</v>
      </c>
    </row>
    <row r="484" spans="1:12" x14ac:dyDescent="0.3">
      <c r="A484" s="5" t="s">
        <v>8</v>
      </c>
      <c r="B484" s="5" t="s">
        <v>9</v>
      </c>
      <c r="C484" s="5" t="s">
        <v>23</v>
      </c>
      <c r="D484" s="5" t="s">
        <v>11</v>
      </c>
      <c r="E484" s="5" t="s">
        <v>15</v>
      </c>
      <c r="F484" s="5">
        <v>60</v>
      </c>
      <c r="G484" s="5">
        <v>70</v>
      </c>
      <c r="H484" s="6">
        <v>74</v>
      </c>
      <c r="I484" s="5">
        <f>SUM(F484:H484)</f>
        <v>204</v>
      </c>
      <c r="J484" s="7">
        <f>AVERAGE(F484:H484)</f>
        <v>68</v>
      </c>
      <c r="K484" s="8">
        <f>I484/300</f>
        <v>0.68</v>
      </c>
      <c r="L484" s="5">
        <f>_xlfn.RANK.EQ(J484,$J$2:$J$1001,0)</f>
        <v>512</v>
      </c>
    </row>
    <row r="485" spans="1:12" x14ac:dyDescent="0.3">
      <c r="A485" s="5" t="s">
        <v>8</v>
      </c>
      <c r="B485" s="5" t="s">
        <v>13</v>
      </c>
      <c r="C485" s="5" t="s">
        <v>14</v>
      </c>
      <c r="D485" s="5" t="s">
        <v>20</v>
      </c>
      <c r="E485" s="5" t="s">
        <v>12</v>
      </c>
      <c r="F485" s="5">
        <v>62</v>
      </c>
      <c r="G485" s="5">
        <v>72</v>
      </c>
      <c r="H485" s="6">
        <v>70</v>
      </c>
      <c r="I485" s="5">
        <f>SUM(F485:H485)</f>
        <v>204</v>
      </c>
      <c r="J485" s="7">
        <f>AVERAGE(F485:H485)</f>
        <v>68</v>
      </c>
      <c r="K485" s="8">
        <f>I485/300</f>
        <v>0.68</v>
      </c>
      <c r="L485" s="5">
        <f>_xlfn.RANK.EQ(J485,$J$2:$J$1001,0)</f>
        <v>512</v>
      </c>
    </row>
    <row r="486" spans="1:12" x14ac:dyDescent="0.3">
      <c r="A486" s="5" t="s">
        <v>8</v>
      </c>
      <c r="B486" s="5" t="s">
        <v>13</v>
      </c>
      <c r="C486" s="5" t="s">
        <v>19</v>
      </c>
      <c r="D486" s="5" t="s">
        <v>11</v>
      </c>
      <c r="E486" s="5" t="s">
        <v>15</v>
      </c>
      <c r="F486" s="5">
        <v>59</v>
      </c>
      <c r="G486" s="5">
        <v>73</v>
      </c>
      <c r="H486" s="6">
        <v>72</v>
      </c>
      <c r="I486" s="5">
        <f>SUM(F486:H486)</f>
        <v>204</v>
      </c>
      <c r="J486" s="7">
        <f>AVERAGE(F486:H486)</f>
        <v>68</v>
      </c>
      <c r="K486" s="8">
        <f>I486/300</f>
        <v>0.68</v>
      </c>
      <c r="L486" s="5">
        <f>_xlfn.RANK.EQ(J486,$J$2:$J$1001,0)</f>
        <v>512</v>
      </c>
    </row>
    <row r="487" spans="1:12" x14ac:dyDescent="0.3">
      <c r="A487" s="5" t="s">
        <v>17</v>
      </c>
      <c r="B487" s="5" t="s">
        <v>24</v>
      </c>
      <c r="C487" s="5" t="s">
        <v>10</v>
      </c>
      <c r="D487" s="5" t="s">
        <v>11</v>
      </c>
      <c r="E487" s="5" t="s">
        <v>15</v>
      </c>
      <c r="F487" s="5">
        <v>70</v>
      </c>
      <c r="G487" s="5">
        <v>64</v>
      </c>
      <c r="H487" s="6">
        <v>70</v>
      </c>
      <c r="I487" s="5">
        <f>SUM(F487:H487)</f>
        <v>204</v>
      </c>
      <c r="J487" s="7">
        <f>AVERAGE(F487:H487)</f>
        <v>68</v>
      </c>
      <c r="K487" s="8">
        <f>I487/300</f>
        <v>0.68</v>
      </c>
      <c r="L487" s="5">
        <f>_xlfn.RANK.EQ(J487,$J$2:$J$1001,0)</f>
        <v>512</v>
      </c>
    </row>
    <row r="488" spans="1:12" x14ac:dyDescent="0.3">
      <c r="A488" s="5" t="s">
        <v>8</v>
      </c>
      <c r="B488" s="5" t="s">
        <v>24</v>
      </c>
      <c r="C488" s="5" t="s">
        <v>14</v>
      </c>
      <c r="D488" s="5" t="s">
        <v>11</v>
      </c>
      <c r="E488" s="5" t="s">
        <v>12</v>
      </c>
      <c r="F488" s="5">
        <v>68</v>
      </c>
      <c r="G488" s="5">
        <v>70</v>
      </c>
      <c r="H488" s="6">
        <v>66</v>
      </c>
      <c r="I488" s="5">
        <f>SUM(F488:H488)</f>
        <v>204</v>
      </c>
      <c r="J488" s="7">
        <f>AVERAGE(F488:H488)</f>
        <v>68</v>
      </c>
      <c r="K488" s="8">
        <f>I488/300</f>
        <v>0.68</v>
      </c>
      <c r="L488" s="5">
        <f>_xlfn.RANK.EQ(J488,$J$2:$J$1001,0)</f>
        <v>512</v>
      </c>
    </row>
    <row r="489" spans="1:12" x14ac:dyDescent="0.3">
      <c r="A489" s="5" t="s">
        <v>17</v>
      </c>
      <c r="B489" s="5" t="s">
        <v>21</v>
      </c>
      <c r="C489" s="5" t="s">
        <v>22</v>
      </c>
      <c r="D489" s="5" t="s">
        <v>11</v>
      </c>
      <c r="E489" s="5" t="s">
        <v>12</v>
      </c>
      <c r="F489" s="5">
        <v>72</v>
      </c>
      <c r="G489" s="5">
        <v>66</v>
      </c>
      <c r="H489" s="6">
        <v>66</v>
      </c>
      <c r="I489" s="5">
        <f>SUM(F489:H489)</f>
        <v>204</v>
      </c>
      <c r="J489" s="7">
        <f>AVERAGE(F489:H489)</f>
        <v>68</v>
      </c>
      <c r="K489" s="8">
        <f>I489/300</f>
        <v>0.68</v>
      </c>
      <c r="L489" s="5">
        <f>_xlfn.RANK.EQ(J489,$J$2:$J$1001,0)</f>
        <v>512</v>
      </c>
    </row>
    <row r="490" spans="1:12" x14ac:dyDescent="0.3">
      <c r="A490" s="5" t="s">
        <v>8</v>
      </c>
      <c r="B490" s="5" t="s">
        <v>21</v>
      </c>
      <c r="C490" s="5" t="s">
        <v>14</v>
      </c>
      <c r="D490" s="5" t="s">
        <v>11</v>
      </c>
      <c r="E490" s="5" t="s">
        <v>12</v>
      </c>
      <c r="F490" s="5">
        <v>62</v>
      </c>
      <c r="G490" s="5">
        <v>70</v>
      </c>
      <c r="H490" s="6">
        <v>72</v>
      </c>
      <c r="I490" s="5">
        <f>SUM(F490:H490)</f>
        <v>204</v>
      </c>
      <c r="J490" s="7">
        <f>AVERAGE(F490:H490)</f>
        <v>68</v>
      </c>
      <c r="K490" s="8">
        <f>I490/300</f>
        <v>0.68</v>
      </c>
      <c r="L490" s="5">
        <f>_xlfn.RANK.EQ(J490,$J$2:$J$1001,0)</f>
        <v>512</v>
      </c>
    </row>
    <row r="491" spans="1:12" x14ac:dyDescent="0.3">
      <c r="A491" s="5" t="s">
        <v>17</v>
      </c>
      <c r="B491" s="5" t="s">
        <v>13</v>
      </c>
      <c r="C491" s="5" t="s">
        <v>22</v>
      </c>
      <c r="D491" s="5" t="s">
        <v>11</v>
      </c>
      <c r="E491" s="5" t="s">
        <v>12</v>
      </c>
      <c r="F491" s="5">
        <v>70</v>
      </c>
      <c r="G491" s="5">
        <v>70</v>
      </c>
      <c r="H491" s="6">
        <v>65</v>
      </c>
      <c r="I491" s="5">
        <f>SUM(F491:H491)</f>
        <v>205</v>
      </c>
      <c r="J491" s="7">
        <f>AVERAGE(F491:H491)</f>
        <v>68.333333333333329</v>
      </c>
      <c r="K491" s="8">
        <f>I491/300</f>
        <v>0.68333333333333335</v>
      </c>
      <c r="L491" s="5">
        <f>_xlfn.RANK.EQ(J491,$J$2:$J$1001,0)</f>
        <v>499</v>
      </c>
    </row>
    <row r="492" spans="1:12" x14ac:dyDescent="0.3">
      <c r="A492" s="5" t="s">
        <v>8</v>
      </c>
      <c r="B492" s="5" t="s">
        <v>24</v>
      </c>
      <c r="C492" s="5" t="s">
        <v>14</v>
      </c>
      <c r="D492" s="5" t="s">
        <v>11</v>
      </c>
      <c r="E492" s="5" t="s">
        <v>15</v>
      </c>
      <c r="F492" s="5">
        <v>63</v>
      </c>
      <c r="G492" s="5">
        <v>72</v>
      </c>
      <c r="H492" s="6">
        <v>70</v>
      </c>
      <c r="I492" s="5">
        <f>SUM(F492:H492)</f>
        <v>205</v>
      </c>
      <c r="J492" s="7">
        <f>AVERAGE(F492:H492)</f>
        <v>68.333333333333329</v>
      </c>
      <c r="K492" s="8">
        <f>I492/300</f>
        <v>0.68333333333333335</v>
      </c>
      <c r="L492" s="5">
        <f>_xlfn.RANK.EQ(J492,$J$2:$J$1001,0)</f>
        <v>499</v>
      </c>
    </row>
    <row r="493" spans="1:12" x14ac:dyDescent="0.3">
      <c r="A493" s="5" t="s">
        <v>17</v>
      </c>
      <c r="B493" s="5" t="s">
        <v>13</v>
      </c>
      <c r="C493" s="5" t="s">
        <v>16</v>
      </c>
      <c r="D493" s="5" t="s">
        <v>20</v>
      </c>
      <c r="E493" s="5" t="s">
        <v>15</v>
      </c>
      <c r="F493" s="5">
        <v>62</v>
      </c>
      <c r="G493" s="5">
        <v>68</v>
      </c>
      <c r="H493" s="6">
        <v>75</v>
      </c>
      <c r="I493" s="5">
        <f>SUM(F493:H493)</f>
        <v>205</v>
      </c>
      <c r="J493" s="7">
        <f>AVERAGE(F493:H493)</f>
        <v>68.333333333333329</v>
      </c>
      <c r="K493" s="8">
        <f>I493/300</f>
        <v>0.68333333333333335</v>
      </c>
      <c r="L493" s="5">
        <f>_xlfn.RANK.EQ(J493,$J$2:$J$1001,0)</f>
        <v>499</v>
      </c>
    </row>
    <row r="494" spans="1:12" x14ac:dyDescent="0.3">
      <c r="A494" s="5" t="s">
        <v>8</v>
      </c>
      <c r="B494" s="5" t="s">
        <v>24</v>
      </c>
      <c r="C494" s="5" t="s">
        <v>14</v>
      </c>
      <c r="D494" s="5" t="s">
        <v>11</v>
      </c>
      <c r="E494" s="5" t="s">
        <v>12</v>
      </c>
      <c r="F494" s="5">
        <v>62</v>
      </c>
      <c r="G494" s="5">
        <v>73</v>
      </c>
      <c r="H494" s="6">
        <v>70</v>
      </c>
      <c r="I494" s="5">
        <f>SUM(F494:H494)</f>
        <v>205</v>
      </c>
      <c r="J494" s="7">
        <f>AVERAGE(F494:H494)</f>
        <v>68.333333333333329</v>
      </c>
      <c r="K494" s="8">
        <f>I494/300</f>
        <v>0.68333333333333335</v>
      </c>
      <c r="L494" s="5">
        <f>_xlfn.RANK.EQ(J494,$J$2:$J$1001,0)</f>
        <v>499</v>
      </c>
    </row>
    <row r="495" spans="1:12" x14ac:dyDescent="0.3">
      <c r="A495" s="5" t="s">
        <v>8</v>
      </c>
      <c r="B495" s="5" t="s">
        <v>13</v>
      </c>
      <c r="C495" s="5" t="s">
        <v>19</v>
      </c>
      <c r="D495" s="5" t="s">
        <v>20</v>
      </c>
      <c r="E495" s="5" t="s">
        <v>12</v>
      </c>
      <c r="F495" s="5">
        <v>64</v>
      </c>
      <c r="G495" s="5">
        <v>73</v>
      </c>
      <c r="H495" s="6">
        <v>68</v>
      </c>
      <c r="I495" s="5">
        <f>SUM(F495:H495)</f>
        <v>205</v>
      </c>
      <c r="J495" s="7">
        <f>AVERAGE(F495:H495)</f>
        <v>68.333333333333329</v>
      </c>
      <c r="K495" s="8">
        <f>I495/300</f>
        <v>0.68333333333333335</v>
      </c>
      <c r="L495" s="5">
        <f>_xlfn.RANK.EQ(J495,$J$2:$J$1001,0)</f>
        <v>499</v>
      </c>
    </row>
    <row r="496" spans="1:12" x14ac:dyDescent="0.3">
      <c r="A496" s="5" t="s">
        <v>17</v>
      </c>
      <c r="B496" s="5" t="s">
        <v>18</v>
      </c>
      <c r="C496" s="5" t="s">
        <v>14</v>
      </c>
      <c r="D496" s="5" t="s">
        <v>11</v>
      </c>
      <c r="E496" s="5" t="s">
        <v>12</v>
      </c>
      <c r="F496" s="5">
        <v>69</v>
      </c>
      <c r="G496" s="5">
        <v>67</v>
      </c>
      <c r="H496" s="6">
        <v>69</v>
      </c>
      <c r="I496" s="5">
        <f>SUM(F496:H496)</f>
        <v>205</v>
      </c>
      <c r="J496" s="7">
        <f>AVERAGE(F496:H496)</f>
        <v>68.333333333333329</v>
      </c>
      <c r="K496" s="8">
        <f>I496/300</f>
        <v>0.68333333333333335</v>
      </c>
      <c r="L496" s="5">
        <f>_xlfn.RANK.EQ(J496,$J$2:$J$1001,0)</f>
        <v>499</v>
      </c>
    </row>
    <row r="497" spans="1:12" x14ac:dyDescent="0.3">
      <c r="A497" s="5" t="s">
        <v>17</v>
      </c>
      <c r="B497" s="5" t="s">
        <v>13</v>
      </c>
      <c r="C497" s="5" t="s">
        <v>23</v>
      </c>
      <c r="D497" s="5" t="s">
        <v>20</v>
      </c>
      <c r="E497" s="5" t="s">
        <v>12</v>
      </c>
      <c r="F497" s="5">
        <v>69</v>
      </c>
      <c r="G497" s="5">
        <v>71</v>
      </c>
      <c r="H497" s="6">
        <v>65</v>
      </c>
      <c r="I497" s="5">
        <f>SUM(F497:H497)</f>
        <v>205</v>
      </c>
      <c r="J497" s="7">
        <f>AVERAGE(F497:H497)</f>
        <v>68.333333333333329</v>
      </c>
      <c r="K497" s="8">
        <f>I497/300</f>
        <v>0.68333333333333335</v>
      </c>
      <c r="L497" s="5">
        <f>_xlfn.RANK.EQ(J497,$J$2:$J$1001,0)</f>
        <v>499</v>
      </c>
    </row>
    <row r="498" spans="1:12" x14ac:dyDescent="0.3">
      <c r="A498" s="5" t="s">
        <v>17</v>
      </c>
      <c r="B498" s="5" t="s">
        <v>13</v>
      </c>
      <c r="C498" s="5" t="s">
        <v>23</v>
      </c>
      <c r="D498" s="5" t="s">
        <v>11</v>
      </c>
      <c r="E498" s="5" t="s">
        <v>12</v>
      </c>
      <c r="F498" s="5">
        <v>73</v>
      </c>
      <c r="G498" s="5">
        <v>66</v>
      </c>
      <c r="H498" s="6">
        <v>66</v>
      </c>
      <c r="I498" s="5">
        <f>SUM(F498:H498)</f>
        <v>205</v>
      </c>
      <c r="J498" s="7">
        <f>AVERAGE(F498:H498)</f>
        <v>68.333333333333329</v>
      </c>
      <c r="K498" s="8">
        <f>I498/300</f>
        <v>0.68333333333333335</v>
      </c>
      <c r="L498" s="5">
        <f>_xlfn.RANK.EQ(J498,$J$2:$J$1001,0)</f>
        <v>499</v>
      </c>
    </row>
    <row r="499" spans="1:12" x14ac:dyDescent="0.3">
      <c r="A499" s="5" t="s">
        <v>17</v>
      </c>
      <c r="B499" s="5" t="s">
        <v>9</v>
      </c>
      <c r="C499" s="5" t="s">
        <v>22</v>
      </c>
      <c r="D499" s="5" t="s">
        <v>11</v>
      </c>
      <c r="E499" s="5" t="s">
        <v>15</v>
      </c>
      <c r="F499" s="5">
        <v>72</v>
      </c>
      <c r="G499" s="5">
        <v>65</v>
      </c>
      <c r="H499" s="6">
        <v>68</v>
      </c>
      <c r="I499" s="5">
        <f>SUM(F499:H499)</f>
        <v>205</v>
      </c>
      <c r="J499" s="7">
        <f>AVERAGE(F499:H499)</f>
        <v>68.333333333333329</v>
      </c>
      <c r="K499" s="8">
        <f>I499/300</f>
        <v>0.68333333333333335</v>
      </c>
      <c r="L499" s="5">
        <f>_xlfn.RANK.EQ(J499,$J$2:$J$1001,0)</f>
        <v>499</v>
      </c>
    </row>
    <row r="500" spans="1:12" x14ac:dyDescent="0.3">
      <c r="A500" s="5" t="s">
        <v>17</v>
      </c>
      <c r="B500" s="5" t="s">
        <v>24</v>
      </c>
      <c r="C500" s="5" t="s">
        <v>14</v>
      </c>
      <c r="D500" s="5" t="s">
        <v>11</v>
      </c>
      <c r="E500" s="5" t="s">
        <v>12</v>
      </c>
      <c r="F500" s="5">
        <v>68</v>
      </c>
      <c r="G500" s="5">
        <v>72</v>
      </c>
      <c r="H500" s="6">
        <v>65</v>
      </c>
      <c r="I500" s="5">
        <f>SUM(F500:H500)</f>
        <v>205</v>
      </c>
      <c r="J500" s="7">
        <f>AVERAGE(F500:H500)</f>
        <v>68.333333333333329</v>
      </c>
      <c r="K500" s="8">
        <f>I500/300</f>
        <v>0.68333333333333335</v>
      </c>
      <c r="L500" s="5">
        <f>_xlfn.RANK.EQ(J500,$J$2:$J$1001,0)</f>
        <v>499</v>
      </c>
    </row>
    <row r="501" spans="1:12" x14ac:dyDescent="0.3">
      <c r="A501" s="5" t="s">
        <v>17</v>
      </c>
      <c r="B501" s="5" t="s">
        <v>13</v>
      </c>
      <c r="C501" s="5" t="s">
        <v>16</v>
      </c>
      <c r="D501" s="5" t="s">
        <v>11</v>
      </c>
      <c r="E501" s="5" t="s">
        <v>12</v>
      </c>
      <c r="F501" s="5">
        <v>71</v>
      </c>
      <c r="G501" s="5">
        <v>67</v>
      </c>
      <c r="H501" s="6">
        <v>67</v>
      </c>
      <c r="I501" s="5">
        <f>SUM(F501:H501)</f>
        <v>205</v>
      </c>
      <c r="J501" s="7">
        <f>AVERAGE(F501:H501)</f>
        <v>68.333333333333329</v>
      </c>
      <c r="K501" s="8">
        <f>I501/300</f>
        <v>0.68333333333333335</v>
      </c>
      <c r="L501" s="5">
        <f>_xlfn.RANK.EQ(J501,$J$2:$J$1001,0)</f>
        <v>499</v>
      </c>
    </row>
    <row r="502" spans="1:12" x14ac:dyDescent="0.3">
      <c r="A502" s="5" t="s">
        <v>17</v>
      </c>
      <c r="B502" s="5" t="s">
        <v>21</v>
      </c>
      <c r="C502" s="5" t="s">
        <v>19</v>
      </c>
      <c r="D502" s="5" t="s">
        <v>20</v>
      </c>
      <c r="E502" s="5" t="s">
        <v>15</v>
      </c>
      <c r="F502" s="5">
        <v>61</v>
      </c>
      <c r="G502" s="5">
        <v>71</v>
      </c>
      <c r="H502" s="6">
        <v>73</v>
      </c>
      <c r="I502" s="5">
        <f>SUM(F502:H502)</f>
        <v>205</v>
      </c>
      <c r="J502" s="7">
        <f>AVERAGE(F502:H502)</f>
        <v>68.333333333333329</v>
      </c>
      <c r="K502" s="8">
        <f>I502/300</f>
        <v>0.68333333333333335</v>
      </c>
      <c r="L502" s="5">
        <f>_xlfn.RANK.EQ(J502,$J$2:$J$1001,0)</f>
        <v>499</v>
      </c>
    </row>
    <row r="503" spans="1:12" x14ac:dyDescent="0.3">
      <c r="A503" s="5" t="s">
        <v>8</v>
      </c>
      <c r="B503" s="5" t="s">
        <v>24</v>
      </c>
      <c r="C503" s="5" t="s">
        <v>22</v>
      </c>
      <c r="D503" s="5" t="s">
        <v>20</v>
      </c>
      <c r="E503" s="5" t="s">
        <v>15</v>
      </c>
      <c r="F503" s="5">
        <v>57</v>
      </c>
      <c r="G503" s="5">
        <v>75</v>
      </c>
      <c r="H503" s="6">
        <v>73</v>
      </c>
      <c r="I503" s="5">
        <f>SUM(F503:H503)</f>
        <v>205</v>
      </c>
      <c r="J503" s="7">
        <f>AVERAGE(F503:H503)</f>
        <v>68.333333333333329</v>
      </c>
      <c r="K503" s="8">
        <f>I503/300</f>
        <v>0.68333333333333335</v>
      </c>
      <c r="L503" s="5">
        <f>_xlfn.RANK.EQ(J503,$J$2:$J$1001,0)</f>
        <v>499</v>
      </c>
    </row>
    <row r="504" spans="1:12" x14ac:dyDescent="0.3">
      <c r="A504" s="5" t="s">
        <v>8</v>
      </c>
      <c r="B504" s="5" t="s">
        <v>13</v>
      </c>
      <c r="C504" s="5" t="s">
        <v>14</v>
      </c>
      <c r="D504" s="5" t="s">
        <v>11</v>
      </c>
      <c r="E504" s="5" t="s">
        <v>12</v>
      </c>
      <c r="F504" s="5">
        <v>60</v>
      </c>
      <c r="G504" s="5">
        <v>72</v>
      </c>
      <c r="H504" s="6">
        <v>74</v>
      </c>
      <c r="I504" s="5">
        <f>SUM(F504:H504)</f>
        <v>206</v>
      </c>
      <c r="J504" s="7">
        <f>AVERAGE(F504:H504)</f>
        <v>68.666666666666671</v>
      </c>
      <c r="K504" s="8">
        <f>I504/300</f>
        <v>0.68666666666666665</v>
      </c>
      <c r="L504" s="5">
        <f>_xlfn.RANK.EQ(J504,$J$2:$J$1001,0)</f>
        <v>487</v>
      </c>
    </row>
    <row r="505" spans="1:12" x14ac:dyDescent="0.3">
      <c r="A505" s="5" t="s">
        <v>8</v>
      </c>
      <c r="B505" s="5" t="s">
        <v>9</v>
      </c>
      <c r="C505" s="5" t="s">
        <v>23</v>
      </c>
      <c r="D505" s="5" t="s">
        <v>11</v>
      </c>
      <c r="E505" s="5" t="s">
        <v>12</v>
      </c>
      <c r="F505" s="5">
        <v>70</v>
      </c>
      <c r="G505" s="5">
        <v>64</v>
      </c>
      <c r="H505" s="6">
        <v>72</v>
      </c>
      <c r="I505" s="5">
        <f>SUM(F505:H505)</f>
        <v>206</v>
      </c>
      <c r="J505" s="7">
        <f>AVERAGE(F505:H505)</f>
        <v>68.666666666666671</v>
      </c>
      <c r="K505" s="8">
        <f>I505/300</f>
        <v>0.68666666666666665</v>
      </c>
      <c r="L505" s="5">
        <f>_xlfn.RANK.EQ(J505,$J$2:$J$1001,0)</f>
        <v>487</v>
      </c>
    </row>
    <row r="506" spans="1:12" x14ac:dyDescent="0.3">
      <c r="A506" s="5" t="s">
        <v>17</v>
      </c>
      <c r="B506" s="5" t="s">
        <v>24</v>
      </c>
      <c r="C506" s="5" t="s">
        <v>10</v>
      </c>
      <c r="D506" s="5" t="s">
        <v>11</v>
      </c>
      <c r="E506" s="5" t="s">
        <v>12</v>
      </c>
      <c r="F506" s="5">
        <v>82</v>
      </c>
      <c r="G506" s="5">
        <v>62</v>
      </c>
      <c r="H506" s="6">
        <v>62</v>
      </c>
      <c r="I506" s="5">
        <f>SUM(F506:H506)</f>
        <v>206</v>
      </c>
      <c r="J506" s="7">
        <f>AVERAGE(F506:H506)</f>
        <v>68.666666666666671</v>
      </c>
      <c r="K506" s="8">
        <f>I506/300</f>
        <v>0.68666666666666665</v>
      </c>
      <c r="L506" s="5">
        <f>_xlfn.RANK.EQ(J506,$J$2:$J$1001,0)</f>
        <v>487</v>
      </c>
    </row>
    <row r="507" spans="1:12" x14ac:dyDescent="0.3">
      <c r="A507" s="5" t="s">
        <v>17</v>
      </c>
      <c r="B507" s="5" t="s">
        <v>21</v>
      </c>
      <c r="C507" s="5" t="s">
        <v>14</v>
      </c>
      <c r="D507" s="5" t="s">
        <v>11</v>
      </c>
      <c r="E507" s="5" t="s">
        <v>12</v>
      </c>
      <c r="F507" s="5">
        <v>76</v>
      </c>
      <c r="G507" s="5">
        <v>64</v>
      </c>
      <c r="H507" s="6">
        <v>66</v>
      </c>
      <c r="I507" s="5">
        <f>SUM(F507:H507)</f>
        <v>206</v>
      </c>
      <c r="J507" s="7">
        <f>AVERAGE(F507:H507)</f>
        <v>68.666666666666671</v>
      </c>
      <c r="K507" s="8">
        <f>I507/300</f>
        <v>0.68666666666666665</v>
      </c>
      <c r="L507" s="5">
        <f>_xlfn.RANK.EQ(J507,$J$2:$J$1001,0)</f>
        <v>487</v>
      </c>
    </row>
    <row r="508" spans="1:12" x14ac:dyDescent="0.3">
      <c r="A508" s="5" t="s">
        <v>8</v>
      </c>
      <c r="B508" s="5" t="s">
        <v>21</v>
      </c>
      <c r="C508" s="5" t="s">
        <v>14</v>
      </c>
      <c r="D508" s="5" t="s">
        <v>11</v>
      </c>
      <c r="E508" s="5" t="s">
        <v>12</v>
      </c>
      <c r="F508" s="5">
        <v>65</v>
      </c>
      <c r="G508" s="5">
        <v>70</v>
      </c>
      <c r="H508" s="6">
        <v>71</v>
      </c>
      <c r="I508" s="5">
        <f>SUM(F508:H508)</f>
        <v>206</v>
      </c>
      <c r="J508" s="7">
        <f>AVERAGE(F508:H508)</f>
        <v>68.666666666666671</v>
      </c>
      <c r="K508" s="8">
        <f>I508/300</f>
        <v>0.68666666666666665</v>
      </c>
      <c r="L508" s="5">
        <f>_xlfn.RANK.EQ(J508,$J$2:$J$1001,0)</f>
        <v>487</v>
      </c>
    </row>
    <row r="509" spans="1:12" x14ac:dyDescent="0.3">
      <c r="A509" s="5" t="s">
        <v>17</v>
      </c>
      <c r="B509" s="5" t="s">
        <v>21</v>
      </c>
      <c r="C509" s="5" t="s">
        <v>19</v>
      </c>
      <c r="D509" s="5" t="s">
        <v>11</v>
      </c>
      <c r="E509" s="5" t="s">
        <v>15</v>
      </c>
      <c r="F509" s="5">
        <v>67</v>
      </c>
      <c r="G509" s="5">
        <v>72</v>
      </c>
      <c r="H509" s="6">
        <v>67</v>
      </c>
      <c r="I509" s="5">
        <f>SUM(F509:H509)</f>
        <v>206</v>
      </c>
      <c r="J509" s="7">
        <f>AVERAGE(F509:H509)</f>
        <v>68.666666666666671</v>
      </c>
      <c r="K509" s="8">
        <f>I509/300</f>
        <v>0.68666666666666665</v>
      </c>
      <c r="L509" s="5">
        <f>_xlfn.RANK.EQ(J509,$J$2:$J$1001,0)</f>
        <v>487</v>
      </c>
    </row>
    <row r="510" spans="1:12" x14ac:dyDescent="0.3">
      <c r="A510" s="5" t="s">
        <v>8</v>
      </c>
      <c r="B510" s="5" t="s">
        <v>13</v>
      </c>
      <c r="C510" s="5" t="s">
        <v>22</v>
      </c>
      <c r="D510" s="5" t="s">
        <v>11</v>
      </c>
      <c r="E510" s="5" t="s">
        <v>12</v>
      </c>
      <c r="F510" s="5">
        <v>63</v>
      </c>
      <c r="G510" s="5">
        <v>69</v>
      </c>
      <c r="H510" s="6">
        <v>74</v>
      </c>
      <c r="I510" s="5">
        <f>SUM(F510:H510)</f>
        <v>206</v>
      </c>
      <c r="J510" s="7">
        <f>AVERAGE(F510:H510)</f>
        <v>68.666666666666671</v>
      </c>
      <c r="K510" s="8">
        <f>I510/300</f>
        <v>0.68666666666666665</v>
      </c>
      <c r="L510" s="5">
        <f>_xlfn.RANK.EQ(J510,$J$2:$J$1001,0)</f>
        <v>487</v>
      </c>
    </row>
    <row r="511" spans="1:12" x14ac:dyDescent="0.3">
      <c r="A511" s="5" t="s">
        <v>8</v>
      </c>
      <c r="B511" s="5" t="s">
        <v>13</v>
      </c>
      <c r="C511" s="5" t="s">
        <v>19</v>
      </c>
      <c r="D511" s="5" t="s">
        <v>11</v>
      </c>
      <c r="E511" s="5" t="s">
        <v>12</v>
      </c>
      <c r="F511" s="5">
        <v>62</v>
      </c>
      <c r="G511" s="5">
        <v>74</v>
      </c>
      <c r="H511" s="6">
        <v>70</v>
      </c>
      <c r="I511" s="5">
        <f>SUM(F511:H511)</f>
        <v>206</v>
      </c>
      <c r="J511" s="7">
        <f>AVERAGE(F511:H511)</f>
        <v>68.666666666666671</v>
      </c>
      <c r="K511" s="8">
        <f>I511/300</f>
        <v>0.68666666666666665</v>
      </c>
      <c r="L511" s="5">
        <f>_xlfn.RANK.EQ(J511,$J$2:$J$1001,0)</f>
        <v>487</v>
      </c>
    </row>
    <row r="512" spans="1:12" x14ac:dyDescent="0.3">
      <c r="A512" s="5" t="s">
        <v>8</v>
      </c>
      <c r="B512" s="5" t="s">
        <v>13</v>
      </c>
      <c r="C512" s="5" t="s">
        <v>19</v>
      </c>
      <c r="D512" s="5" t="s">
        <v>11</v>
      </c>
      <c r="E512" s="5" t="s">
        <v>15</v>
      </c>
      <c r="F512" s="5">
        <v>55</v>
      </c>
      <c r="G512" s="5">
        <v>72</v>
      </c>
      <c r="H512" s="6">
        <v>79</v>
      </c>
      <c r="I512" s="5">
        <f>SUM(F512:H512)</f>
        <v>206</v>
      </c>
      <c r="J512" s="7">
        <f>AVERAGE(F512:H512)</f>
        <v>68.666666666666671</v>
      </c>
      <c r="K512" s="8">
        <f>I512/300</f>
        <v>0.68666666666666665</v>
      </c>
      <c r="L512" s="5">
        <f>_xlfn.RANK.EQ(J512,$J$2:$J$1001,0)</f>
        <v>487</v>
      </c>
    </row>
    <row r="513" spans="1:12" x14ac:dyDescent="0.3">
      <c r="A513" s="5" t="s">
        <v>17</v>
      </c>
      <c r="B513" s="5" t="s">
        <v>13</v>
      </c>
      <c r="C513" s="5" t="s">
        <v>19</v>
      </c>
      <c r="D513" s="5" t="s">
        <v>20</v>
      </c>
      <c r="E513" s="5" t="s">
        <v>15</v>
      </c>
      <c r="F513" s="5">
        <v>65</v>
      </c>
      <c r="G513" s="5">
        <v>73</v>
      </c>
      <c r="H513" s="6">
        <v>68</v>
      </c>
      <c r="I513" s="5">
        <f>SUM(F513:H513)</f>
        <v>206</v>
      </c>
      <c r="J513" s="7">
        <f>AVERAGE(F513:H513)</f>
        <v>68.666666666666671</v>
      </c>
      <c r="K513" s="8">
        <f>I513/300</f>
        <v>0.68666666666666665</v>
      </c>
      <c r="L513" s="5">
        <f>_xlfn.RANK.EQ(J513,$J$2:$J$1001,0)</f>
        <v>487</v>
      </c>
    </row>
    <row r="514" spans="1:12" x14ac:dyDescent="0.3">
      <c r="A514" s="5" t="s">
        <v>17</v>
      </c>
      <c r="B514" s="5" t="s">
        <v>21</v>
      </c>
      <c r="C514" s="5" t="s">
        <v>19</v>
      </c>
      <c r="D514" s="5" t="s">
        <v>11</v>
      </c>
      <c r="E514" s="5" t="s">
        <v>12</v>
      </c>
      <c r="F514" s="5">
        <v>80</v>
      </c>
      <c r="G514" s="5">
        <v>63</v>
      </c>
      <c r="H514" s="6">
        <v>63</v>
      </c>
      <c r="I514" s="5">
        <f>SUM(F514:H514)</f>
        <v>206</v>
      </c>
      <c r="J514" s="7">
        <f>AVERAGE(F514:H514)</f>
        <v>68.666666666666671</v>
      </c>
      <c r="K514" s="8">
        <f>I514/300</f>
        <v>0.68666666666666665</v>
      </c>
      <c r="L514" s="5">
        <f>_xlfn.RANK.EQ(J514,$J$2:$J$1001,0)</f>
        <v>487</v>
      </c>
    </row>
    <row r="515" spans="1:12" x14ac:dyDescent="0.3">
      <c r="A515" s="5" t="s">
        <v>17</v>
      </c>
      <c r="B515" s="5" t="s">
        <v>21</v>
      </c>
      <c r="C515" s="5" t="s">
        <v>22</v>
      </c>
      <c r="D515" s="5" t="s">
        <v>20</v>
      </c>
      <c r="E515" s="5" t="s">
        <v>12</v>
      </c>
      <c r="F515" s="5">
        <v>69</v>
      </c>
      <c r="G515" s="5">
        <v>70</v>
      </c>
      <c r="H515" s="6">
        <v>67</v>
      </c>
      <c r="I515" s="5">
        <f>SUM(F515:H515)</f>
        <v>206</v>
      </c>
      <c r="J515" s="7">
        <f>AVERAGE(F515:H515)</f>
        <v>68.666666666666671</v>
      </c>
      <c r="K515" s="8">
        <f>I515/300</f>
        <v>0.68666666666666665</v>
      </c>
      <c r="L515" s="5">
        <f>_xlfn.RANK.EQ(J515,$J$2:$J$1001,0)</f>
        <v>487</v>
      </c>
    </row>
    <row r="516" spans="1:12" x14ac:dyDescent="0.3">
      <c r="A516" s="5" t="s">
        <v>8</v>
      </c>
      <c r="B516" s="5" t="s">
        <v>21</v>
      </c>
      <c r="C516" s="5" t="s">
        <v>16</v>
      </c>
      <c r="D516" s="5" t="s">
        <v>11</v>
      </c>
      <c r="E516" s="5" t="s">
        <v>12</v>
      </c>
      <c r="F516" s="5">
        <v>62</v>
      </c>
      <c r="G516" s="5">
        <v>70</v>
      </c>
      <c r="H516" s="6">
        <v>75</v>
      </c>
      <c r="I516" s="5">
        <f>SUM(F516:H516)</f>
        <v>207</v>
      </c>
      <c r="J516" s="7">
        <f>AVERAGE(F516:H516)</f>
        <v>69</v>
      </c>
      <c r="K516" s="8">
        <f>I516/300</f>
        <v>0.69</v>
      </c>
      <c r="L516" s="5">
        <f>_xlfn.RANK.EQ(J516,$J$2:$J$1001,0)</f>
        <v>475</v>
      </c>
    </row>
    <row r="517" spans="1:12" x14ac:dyDescent="0.3">
      <c r="A517" s="5" t="s">
        <v>8</v>
      </c>
      <c r="B517" s="5" t="s">
        <v>21</v>
      </c>
      <c r="C517" s="5" t="s">
        <v>19</v>
      </c>
      <c r="D517" s="5" t="s">
        <v>20</v>
      </c>
      <c r="E517" s="5" t="s">
        <v>15</v>
      </c>
      <c r="F517" s="5">
        <v>57</v>
      </c>
      <c r="G517" s="5">
        <v>74</v>
      </c>
      <c r="H517" s="6">
        <v>76</v>
      </c>
      <c r="I517" s="5">
        <f>SUM(F517:H517)</f>
        <v>207</v>
      </c>
      <c r="J517" s="7">
        <f>AVERAGE(F517:H517)</f>
        <v>69</v>
      </c>
      <c r="K517" s="8">
        <f>I517/300</f>
        <v>0.69</v>
      </c>
      <c r="L517" s="5">
        <f>_xlfn.RANK.EQ(J517,$J$2:$J$1001,0)</f>
        <v>475</v>
      </c>
    </row>
    <row r="518" spans="1:12" x14ac:dyDescent="0.3">
      <c r="A518" s="5" t="s">
        <v>8</v>
      </c>
      <c r="B518" s="5" t="s">
        <v>21</v>
      </c>
      <c r="C518" s="5" t="s">
        <v>23</v>
      </c>
      <c r="D518" s="5" t="s">
        <v>11</v>
      </c>
      <c r="E518" s="5" t="s">
        <v>15</v>
      </c>
      <c r="F518" s="5">
        <v>61</v>
      </c>
      <c r="G518" s="5">
        <v>74</v>
      </c>
      <c r="H518" s="6">
        <v>72</v>
      </c>
      <c r="I518" s="5">
        <f>SUM(F518:H518)</f>
        <v>207</v>
      </c>
      <c r="J518" s="7">
        <f>AVERAGE(F518:H518)</f>
        <v>69</v>
      </c>
      <c r="K518" s="8">
        <f>I518/300</f>
        <v>0.69</v>
      </c>
      <c r="L518" s="5">
        <f>_xlfn.RANK.EQ(J518,$J$2:$J$1001,0)</f>
        <v>475</v>
      </c>
    </row>
    <row r="519" spans="1:12" x14ac:dyDescent="0.3">
      <c r="A519" s="5" t="s">
        <v>17</v>
      </c>
      <c r="B519" s="5" t="s">
        <v>9</v>
      </c>
      <c r="C519" s="5" t="s">
        <v>23</v>
      </c>
      <c r="D519" s="5" t="s">
        <v>11</v>
      </c>
      <c r="E519" s="5" t="s">
        <v>12</v>
      </c>
      <c r="F519" s="5">
        <v>72</v>
      </c>
      <c r="G519" s="5">
        <v>68</v>
      </c>
      <c r="H519" s="6">
        <v>67</v>
      </c>
      <c r="I519" s="5">
        <f>SUM(F519:H519)</f>
        <v>207</v>
      </c>
      <c r="J519" s="7">
        <f>AVERAGE(F519:H519)</f>
        <v>69</v>
      </c>
      <c r="K519" s="8">
        <f>I519/300</f>
        <v>0.69</v>
      </c>
      <c r="L519" s="5">
        <f>_xlfn.RANK.EQ(J519,$J$2:$J$1001,0)</f>
        <v>475</v>
      </c>
    </row>
    <row r="520" spans="1:12" x14ac:dyDescent="0.3">
      <c r="A520" s="5" t="s">
        <v>17</v>
      </c>
      <c r="B520" s="5" t="s">
        <v>13</v>
      </c>
      <c r="C520" s="5" t="s">
        <v>19</v>
      </c>
      <c r="D520" s="5" t="s">
        <v>20</v>
      </c>
      <c r="E520" s="5" t="s">
        <v>12</v>
      </c>
      <c r="F520" s="5">
        <v>73</v>
      </c>
      <c r="G520" s="5">
        <v>68</v>
      </c>
      <c r="H520" s="6">
        <v>66</v>
      </c>
      <c r="I520" s="5">
        <f>SUM(F520:H520)</f>
        <v>207</v>
      </c>
      <c r="J520" s="7">
        <f>AVERAGE(F520:H520)</f>
        <v>69</v>
      </c>
      <c r="K520" s="8">
        <f>I520/300</f>
        <v>0.69</v>
      </c>
      <c r="L520" s="5">
        <f>_xlfn.RANK.EQ(J520,$J$2:$J$1001,0)</f>
        <v>475</v>
      </c>
    </row>
    <row r="521" spans="1:12" x14ac:dyDescent="0.3">
      <c r="A521" s="5" t="s">
        <v>17</v>
      </c>
      <c r="B521" s="5" t="s">
        <v>21</v>
      </c>
      <c r="C521" s="5" t="s">
        <v>22</v>
      </c>
      <c r="D521" s="5" t="s">
        <v>20</v>
      </c>
      <c r="E521" s="5" t="s">
        <v>15</v>
      </c>
      <c r="F521" s="5">
        <v>73</v>
      </c>
      <c r="G521" s="5">
        <v>68</v>
      </c>
      <c r="H521" s="6">
        <v>66</v>
      </c>
      <c r="I521" s="5">
        <f>SUM(F521:H521)</f>
        <v>207</v>
      </c>
      <c r="J521" s="7">
        <f>AVERAGE(F521:H521)</f>
        <v>69</v>
      </c>
      <c r="K521" s="8">
        <f>I521/300</f>
        <v>0.69</v>
      </c>
      <c r="L521" s="5">
        <f>_xlfn.RANK.EQ(J521,$J$2:$J$1001,0)</f>
        <v>475</v>
      </c>
    </row>
    <row r="522" spans="1:12" x14ac:dyDescent="0.3">
      <c r="A522" s="5" t="s">
        <v>8</v>
      </c>
      <c r="B522" s="5" t="s">
        <v>24</v>
      </c>
      <c r="C522" s="5" t="s">
        <v>10</v>
      </c>
      <c r="D522" s="5" t="s">
        <v>11</v>
      </c>
      <c r="E522" s="5" t="s">
        <v>12</v>
      </c>
      <c r="F522" s="5">
        <v>64</v>
      </c>
      <c r="G522" s="5">
        <v>73</v>
      </c>
      <c r="H522" s="6">
        <v>70</v>
      </c>
      <c r="I522" s="5">
        <f>SUM(F522:H522)</f>
        <v>207</v>
      </c>
      <c r="J522" s="7">
        <f>AVERAGE(F522:H522)</f>
        <v>69</v>
      </c>
      <c r="K522" s="8">
        <f>I522/300</f>
        <v>0.69</v>
      </c>
      <c r="L522" s="5">
        <f>_xlfn.RANK.EQ(J522,$J$2:$J$1001,0)</f>
        <v>475</v>
      </c>
    </row>
    <row r="523" spans="1:12" x14ac:dyDescent="0.3">
      <c r="A523" s="5" t="s">
        <v>17</v>
      </c>
      <c r="B523" s="5" t="s">
        <v>21</v>
      </c>
      <c r="C523" s="5" t="s">
        <v>19</v>
      </c>
      <c r="D523" s="5" t="s">
        <v>11</v>
      </c>
      <c r="E523" s="5" t="s">
        <v>12</v>
      </c>
      <c r="F523" s="5">
        <v>75</v>
      </c>
      <c r="G523" s="5">
        <v>68</v>
      </c>
      <c r="H523" s="6">
        <v>64</v>
      </c>
      <c r="I523" s="5">
        <f>SUM(F523:H523)</f>
        <v>207</v>
      </c>
      <c r="J523" s="7">
        <f>AVERAGE(F523:H523)</f>
        <v>69</v>
      </c>
      <c r="K523" s="8">
        <f>I523/300</f>
        <v>0.69</v>
      </c>
      <c r="L523" s="5">
        <f>_xlfn.RANK.EQ(J523,$J$2:$J$1001,0)</f>
        <v>475</v>
      </c>
    </row>
    <row r="524" spans="1:12" x14ac:dyDescent="0.3">
      <c r="A524" s="5" t="s">
        <v>8</v>
      </c>
      <c r="B524" s="5" t="s">
        <v>13</v>
      </c>
      <c r="C524" s="5" t="s">
        <v>10</v>
      </c>
      <c r="D524" s="5" t="s">
        <v>11</v>
      </c>
      <c r="E524" s="5" t="s">
        <v>15</v>
      </c>
      <c r="F524" s="5">
        <v>56</v>
      </c>
      <c r="G524" s="5">
        <v>79</v>
      </c>
      <c r="H524" s="6">
        <v>72</v>
      </c>
      <c r="I524" s="5">
        <f>SUM(F524:H524)</f>
        <v>207</v>
      </c>
      <c r="J524" s="7">
        <f>AVERAGE(F524:H524)</f>
        <v>69</v>
      </c>
      <c r="K524" s="8">
        <f>I524/300</f>
        <v>0.69</v>
      </c>
      <c r="L524" s="5">
        <f>_xlfn.RANK.EQ(J524,$J$2:$J$1001,0)</f>
        <v>475</v>
      </c>
    </row>
    <row r="525" spans="1:12" x14ac:dyDescent="0.3">
      <c r="A525" s="5" t="s">
        <v>8</v>
      </c>
      <c r="B525" s="5" t="s">
        <v>13</v>
      </c>
      <c r="C525" s="5" t="s">
        <v>14</v>
      </c>
      <c r="D525" s="5" t="s">
        <v>20</v>
      </c>
      <c r="E525" s="5" t="s">
        <v>15</v>
      </c>
      <c r="F525" s="5">
        <v>63</v>
      </c>
      <c r="G525" s="5">
        <v>73</v>
      </c>
      <c r="H525" s="6">
        <v>71</v>
      </c>
      <c r="I525" s="5">
        <f>SUM(F525:H525)</f>
        <v>207</v>
      </c>
      <c r="J525" s="7">
        <f>AVERAGE(F525:H525)</f>
        <v>69</v>
      </c>
      <c r="K525" s="8">
        <f>I525/300</f>
        <v>0.69</v>
      </c>
      <c r="L525" s="5">
        <f>_xlfn.RANK.EQ(J525,$J$2:$J$1001,0)</f>
        <v>475</v>
      </c>
    </row>
    <row r="526" spans="1:12" x14ac:dyDescent="0.3">
      <c r="A526" s="5" t="s">
        <v>17</v>
      </c>
      <c r="B526" s="5" t="s">
        <v>21</v>
      </c>
      <c r="C526" s="5" t="s">
        <v>10</v>
      </c>
      <c r="D526" s="5" t="s">
        <v>20</v>
      </c>
      <c r="E526" s="5" t="s">
        <v>15</v>
      </c>
      <c r="F526" s="5">
        <v>61</v>
      </c>
      <c r="G526" s="5">
        <v>70</v>
      </c>
      <c r="H526" s="6">
        <v>76</v>
      </c>
      <c r="I526" s="5">
        <f>SUM(F526:H526)</f>
        <v>207</v>
      </c>
      <c r="J526" s="7">
        <f>AVERAGE(F526:H526)</f>
        <v>69</v>
      </c>
      <c r="K526" s="8">
        <f>I526/300</f>
        <v>0.69</v>
      </c>
      <c r="L526" s="5">
        <f>_xlfn.RANK.EQ(J526,$J$2:$J$1001,0)</f>
        <v>475</v>
      </c>
    </row>
    <row r="527" spans="1:12" x14ac:dyDescent="0.3">
      <c r="A527" s="5" t="s">
        <v>8</v>
      </c>
      <c r="B527" s="5" t="s">
        <v>21</v>
      </c>
      <c r="C527" s="5" t="s">
        <v>19</v>
      </c>
      <c r="D527" s="5" t="s">
        <v>20</v>
      </c>
      <c r="E527" s="5" t="s">
        <v>12</v>
      </c>
      <c r="F527" s="5">
        <v>55</v>
      </c>
      <c r="G527" s="5">
        <v>76</v>
      </c>
      <c r="H527" s="6">
        <v>76</v>
      </c>
      <c r="I527" s="5">
        <f>SUM(F527:H527)</f>
        <v>207</v>
      </c>
      <c r="J527" s="7">
        <f>AVERAGE(F527:H527)</f>
        <v>69</v>
      </c>
      <c r="K527" s="8">
        <f>I527/300</f>
        <v>0.69</v>
      </c>
      <c r="L527" s="5">
        <f>_xlfn.RANK.EQ(J527,$J$2:$J$1001,0)</f>
        <v>475</v>
      </c>
    </row>
    <row r="528" spans="1:12" x14ac:dyDescent="0.3">
      <c r="A528" s="5" t="s">
        <v>8</v>
      </c>
      <c r="B528" s="5" t="s">
        <v>13</v>
      </c>
      <c r="C528" s="5" t="s">
        <v>19</v>
      </c>
      <c r="D528" s="5" t="s">
        <v>11</v>
      </c>
      <c r="E528" s="5" t="s">
        <v>15</v>
      </c>
      <c r="F528" s="5">
        <v>68</v>
      </c>
      <c r="G528" s="5">
        <v>67</v>
      </c>
      <c r="H528" s="6">
        <v>73</v>
      </c>
      <c r="I528" s="5">
        <f>SUM(F528:H528)</f>
        <v>208</v>
      </c>
      <c r="J528" s="7">
        <f>AVERAGE(F528:H528)</f>
        <v>69.333333333333329</v>
      </c>
      <c r="K528" s="8">
        <f>I528/300</f>
        <v>0.69333333333333336</v>
      </c>
      <c r="L528" s="5">
        <f>_xlfn.RANK.EQ(J528,$J$2:$J$1001,0)</f>
        <v>465</v>
      </c>
    </row>
    <row r="529" spans="1:12" x14ac:dyDescent="0.3">
      <c r="A529" s="5" t="s">
        <v>17</v>
      </c>
      <c r="B529" s="5" t="s">
        <v>13</v>
      </c>
      <c r="C529" s="5" t="s">
        <v>19</v>
      </c>
      <c r="D529" s="5" t="s">
        <v>20</v>
      </c>
      <c r="E529" s="5" t="s">
        <v>12</v>
      </c>
      <c r="F529" s="5">
        <v>77</v>
      </c>
      <c r="G529" s="5">
        <v>67</v>
      </c>
      <c r="H529" s="6">
        <v>64</v>
      </c>
      <c r="I529" s="5">
        <f>SUM(F529:H529)</f>
        <v>208</v>
      </c>
      <c r="J529" s="7">
        <f>AVERAGE(F529:H529)</f>
        <v>69.333333333333329</v>
      </c>
      <c r="K529" s="8">
        <f>I529/300</f>
        <v>0.69333333333333336</v>
      </c>
      <c r="L529" s="5">
        <f>_xlfn.RANK.EQ(J529,$J$2:$J$1001,0)</f>
        <v>465</v>
      </c>
    </row>
    <row r="530" spans="1:12" x14ac:dyDescent="0.3">
      <c r="A530" s="5" t="s">
        <v>17</v>
      </c>
      <c r="B530" s="5" t="s">
        <v>13</v>
      </c>
      <c r="C530" s="5" t="s">
        <v>14</v>
      </c>
      <c r="D530" s="5" t="s">
        <v>11</v>
      </c>
      <c r="E530" s="5" t="s">
        <v>12</v>
      </c>
      <c r="F530" s="5">
        <v>73</v>
      </c>
      <c r="G530" s="5">
        <v>74</v>
      </c>
      <c r="H530" s="6">
        <v>61</v>
      </c>
      <c r="I530" s="5">
        <f>SUM(F530:H530)</f>
        <v>208</v>
      </c>
      <c r="J530" s="7">
        <f>AVERAGE(F530:H530)</f>
        <v>69.333333333333329</v>
      </c>
      <c r="K530" s="8">
        <f>I530/300</f>
        <v>0.69333333333333336</v>
      </c>
      <c r="L530" s="5">
        <f>_xlfn.RANK.EQ(J530,$J$2:$J$1001,0)</f>
        <v>465</v>
      </c>
    </row>
    <row r="531" spans="1:12" x14ac:dyDescent="0.3">
      <c r="A531" s="5" t="s">
        <v>17</v>
      </c>
      <c r="B531" s="5" t="s">
        <v>21</v>
      </c>
      <c r="C531" s="5" t="s">
        <v>23</v>
      </c>
      <c r="D531" s="5" t="s">
        <v>11</v>
      </c>
      <c r="E531" s="5" t="s">
        <v>15</v>
      </c>
      <c r="F531" s="5">
        <v>71</v>
      </c>
      <c r="G531" s="5">
        <v>69</v>
      </c>
      <c r="H531" s="6">
        <v>68</v>
      </c>
      <c r="I531" s="5">
        <f>SUM(F531:H531)</f>
        <v>208</v>
      </c>
      <c r="J531" s="7">
        <f>AVERAGE(F531:H531)</f>
        <v>69.333333333333329</v>
      </c>
      <c r="K531" s="8">
        <f>I531/300</f>
        <v>0.69333333333333336</v>
      </c>
      <c r="L531" s="5">
        <f>_xlfn.RANK.EQ(J531,$J$2:$J$1001,0)</f>
        <v>465</v>
      </c>
    </row>
    <row r="532" spans="1:12" x14ac:dyDescent="0.3">
      <c r="A532" s="5" t="s">
        <v>8</v>
      </c>
      <c r="B532" s="5" t="s">
        <v>9</v>
      </c>
      <c r="C532" s="5" t="s">
        <v>22</v>
      </c>
      <c r="D532" s="5" t="s">
        <v>11</v>
      </c>
      <c r="E532" s="5" t="s">
        <v>12</v>
      </c>
      <c r="F532" s="5">
        <v>66</v>
      </c>
      <c r="G532" s="5">
        <v>72</v>
      </c>
      <c r="H532" s="6">
        <v>70</v>
      </c>
      <c r="I532" s="5">
        <f>SUM(F532:H532)</f>
        <v>208</v>
      </c>
      <c r="J532" s="7">
        <f>AVERAGE(F532:H532)</f>
        <v>69.333333333333329</v>
      </c>
      <c r="K532" s="8">
        <f>I532/300</f>
        <v>0.69333333333333336</v>
      </c>
      <c r="L532" s="5">
        <f>_xlfn.RANK.EQ(J532,$J$2:$J$1001,0)</f>
        <v>465</v>
      </c>
    </row>
    <row r="533" spans="1:12" x14ac:dyDescent="0.3">
      <c r="A533" s="5" t="s">
        <v>17</v>
      </c>
      <c r="B533" s="5" t="s">
        <v>13</v>
      </c>
      <c r="C533" s="5" t="s">
        <v>23</v>
      </c>
      <c r="D533" s="5" t="s">
        <v>11</v>
      </c>
      <c r="E533" s="5" t="s">
        <v>15</v>
      </c>
      <c r="F533" s="5">
        <v>67</v>
      </c>
      <c r="G533" s="5">
        <v>73</v>
      </c>
      <c r="H533" s="6">
        <v>68</v>
      </c>
      <c r="I533" s="5">
        <f>SUM(F533:H533)</f>
        <v>208</v>
      </c>
      <c r="J533" s="7">
        <f>AVERAGE(F533:H533)</f>
        <v>69.333333333333329</v>
      </c>
      <c r="K533" s="8">
        <f>I533/300</f>
        <v>0.69333333333333336</v>
      </c>
      <c r="L533" s="5">
        <f>_xlfn.RANK.EQ(J533,$J$2:$J$1001,0)</f>
        <v>465</v>
      </c>
    </row>
    <row r="534" spans="1:12" x14ac:dyDescent="0.3">
      <c r="A534" s="5" t="s">
        <v>17</v>
      </c>
      <c r="B534" s="5" t="s">
        <v>9</v>
      </c>
      <c r="C534" s="5" t="s">
        <v>14</v>
      </c>
      <c r="D534" s="5" t="s">
        <v>20</v>
      </c>
      <c r="E534" s="5" t="s">
        <v>12</v>
      </c>
      <c r="F534" s="5">
        <v>75</v>
      </c>
      <c r="G534" s="5">
        <v>68</v>
      </c>
      <c r="H534" s="6">
        <v>65</v>
      </c>
      <c r="I534" s="5">
        <f>SUM(F534:H534)</f>
        <v>208</v>
      </c>
      <c r="J534" s="7">
        <f>AVERAGE(F534:H534)</f>
        <v>69.333333333333329</v>
      </c>
      <c r="K534" s="8">
        <f>I534/300</f>
        <v>0.69333333333333336</v>
      </c>
      <c r="L534" s="5">
        <f>_xlfn.RANK.EQ(J534,$J$2:$J$1001,0)</f>
        <v>465</v>
      </c>
    </row>
    <row r="535" spans="1:12" x14ac:dyDescent="0.3">
      <c r="A535" s="5" t="s">
        <v>8</v>
      </c>
      <c r="B535" s="5" t="s">
        <v>9</v>
      </c>
      <c r="C535" s="5" t="s">
        <v>22</v>
      </c>
      <c r="D535" s="5" t="s">
        <v>20</v>
      </c>
      <c r="E535" s="5" t="s">
        <v>12</v>
      </c>
      <c r="F535" s="5">
        <v>64</v>
      </c>
      <c r="G535" s="5">
        <v>73</v>
      </c>
      <c r="H535" s="6">
        <v>71</v>
      </c>
      <c r="I535" s="5">
        <f>SUM(F535:H535)</f>
        <v>208</v>
      </c>
      <c r="J535" s="7">
        <f>AVERAGE(F535:H535)</f>
        <v>69.333333333333329</v>
      </c>
      <c r="K535" s="8">
        <f>I535/300</f>
        <v>0.69333333333333336</v>
      </c>
      <c r="L535" s="5">
        <f>_xlfn.RANK.EQ(J535,$J$2:$J$1001,0)</f>
        <v>465</v>
      </c>
    </row>
    <row r="536" spans="1:12" x14ac:dyDescent="0.3">
      <c r="A536" s="5" t="s">
        <v>8</v>
      </c>
      <c r="B536" s="5" t="s">
        <v>21</v>
      </c>
      <c r="C536" s="5" t="s">
        <v>14</v>
      </c>
      <c r="D536" s="5" t="s">
        <v>20</v>
      </c>
      <c r="E536" s="5" t="s">
        <v>12</v>
      </c>
      <c r="F536" s="5">
        <v>69</v>
      </c>
      <c r="G536" s="5">
        <v>65</v>
      </c>
      <c r="H536" s="6">
        <v>74</v>
      </c>
      <c r="I536" s="5">
        <f>SUM(F536:H536)</f>
        <v>208</v>
      </c>
      <c r="J536" s="7">
        <f>AVERAGE(F536:H536)</f>
        <v>69.333333333333329</v>
      </c>
      <c r="K536" s="8">
        <f>I536/300</f>
        <v>0.69333333333333336</v>
      </c>
      <c r="L536" s="5">
        <f>_xlfn.RANK.EQ(J536,$J$2:$J$1001,0)</f>
        <v>465</v>
      </c>
    </row>
    <row r="537" spans="1:12" x14ac:dyDescent="0.3">
      <c r="A537" s="5" t="s">
        <v>8</v>
      </c>
      <c r="B537" s="5" t="s">
        <v>21</v>
      </c>
      <c r="C537" s="5" t="s">
        <v>10</v>
      </c>
      <c r="D537" s="5" t="s">
        <v>20</v>
      </c>
      <c r="E537" s="5" t="s">
        <v>12</v>
      </c>
      <c r="F537" s="5">
        <v>62</v>
      </c>
      <c r="G537" s="5">
        <v>72</v>
      </c>
      <c r="H537" s="6">
        <v>74</v>
      </c>
      <c r="I537" s="5">
        <f>SUM(F537:H537)</f>
        <v>208</v>
      </c>
      <c r="J537" s="7">
        <f>AVERAGE(F537:H537)</f>
        <v>69.333333333333329</v>
      </c>
      <c r="K537" s="8">
        <f>I537/300</f>
        <v>0.69333333333333336</v>
      </c>
      <c r="L537" s="5">
        <f>_xlfn.RANK.EQ(J537,$J$2:$J$1001,0)</f>
        <v>465</v>
      </c>
    </row>
    <row r="538" spans="1:12" x14ac:dyDescent="0.3">
      <c r="A538" s="5" t="s">
        <v>8</v>
      </c>
      <c r="B538" s="5" t="s">
        <v>13</v>
      </c>
      <c r="C538" s="5" t="s">
        <v>19</v>
      </c>
      <c r="D538" s="5" t="s">
        <v>20</v>
      </c>
      <c r="E538" s="5" t="s">
        <v>12</v>
      </c>
      <c r="F538" s="5">
        <v>60</v>
      </c>
      <c r="G538" s="5">
        <v>75</v>
      </c>
      <c r="H538" s="6">
        <v>74</v>
      </c>
      <c r="I538" s="5">
        <f>SUM(F538:H538)</f>
        <v>209</v>
      </c>
      <c r="J538" s="7">
        <f>AVERAGE(F538:H538)</f>
        <v>69.666666666666671</v>
      </c>
      <c r="K538" s="8">
        <f>I538/300</f>
        <v>0.69666666666666666</v>
      </c>
      <c r="L538" s="5">
        <f>_xlfn.RANK.EQ(J538,$J$2:$J$1001,0)</f>
        <v>460</v>
      </c>
    </row>
    <row r="539" spans="1:12" x14ac:dyDescent="0.3">
      <c r="A539" s="5" t="s">
        <v>17</v>
      </c>
      <c r="B539" s="5" t="s">
        <v>13</v>
      </c>
      <c r="C539" s="5" t="s">
        <v>23</v>
      </c>
      <c r="D539" s="5" t="s">
        <v>11</v>
      </c>
      <c r="E539" s="5" t="s">
        <v>12</v>
      </c>
      <c r="F539" s="5">
        <v>75</v>
      </c>
      <c r="G539" s="5">
        <v>72</v>
      </c>
      <c r="H539" s="6">
        <v>62</v>
      </c>
      <c r="I539" s="5">
        <f>SUM(F539:H539)</f>
        <v>209</v>
      </c>
      <c r="J539" s="7">
        <f>AVERAGE(F539:H539)</f>
        <v>69.666666666666671</v>
      </c>
      <c r="K539" s="8">
        <f>I539/300</f>
        <v>0.69666666666666666</v>
      </c>
      <c r="L539" s="5">
        <f>_xlfn.RANK.EQ(J539,$J$2:$J$1001,0)</f>
        <v>460</v>
      </c>
    </row>
    <row r="540" spans="1:12" x14ac:dyDescent="0.3">
      <c r="A540" s="5" t="s">
        <v>17</v>
      </c>
      <c r="B540" s="5" t="s">
        <v>18</v>
      </c>
      <c r="C540" s="5" t="s">
        <v>22</v>
      </c>
      <c r="D540" s="5" t="s">
        <v>11</v>
      </c>
      <c r="E540" s="5" t="s">
        <v>12</v>
      </c>
      <c r="F540" s="5">
        <v>71</v>
      </c>
      <c r="G540" s="5">
        <v>74</v>
      </c>
      <c r="H540" s="6">
        <v>64</v>
      </c>
      <c r="I540" s="5">
        <f>SUM(F540:H540)</f>
        <v>209</v>
      </c>
      <c r="J540" s="7">
        <f>AVERAGE(F540:H540)</f>
        <v>69.666666666666671</v>
      </c>
      <c r="K540" s="8">
        <f>I540/300</f>
        <v>0.69666666666666666</v>
      </c>
      <c r="L540" s="5">
        <f>_xlfn.RANK.EQ(J540,$J$2:$J$1001,0)</f>
        <v>460</v>
      </c>
    </row>
    <row r="541" spans="1:12" x14ac:dyDescent="0.3">
      <c r="A541" s="5" t="s">
        <v>8</v>
      </c>
      <c r="B541" s="5" t="s">
        <v>18</v>
      </c>
      <c r="C541" s="5" t="s">
        <v>19</v>
      </c>
      <c r="D541" s="5" t="s">
        <v>11</v>
      </c>
      <c r="E541" s="5" t="s">
        <v>15</v>
      </c>
      <c r="F541" s="5">
        <v>65</v>
      </c>
      <c r="G541" s="5">
        <v>70</v>
      </c>
      <c r="H541" s="6">
        <v>74</v>
      </c>
      <c r="I541" s="5">
        <f>SUM(F541:H541)</f>
        <v>209</v>
      </c>
      <c r="J541" s="7">
        <f>AVERAGE(F541:H541)</f>
        <v>69.666666666666671</v>
      </c>
      <c r="K541" s="8">
        <f>I541/300</f>
        <v>0.69666666666666666</v>
      </c>
      <c r="L541" s="5">
        <f>_xlfn.RANK.EQ(J541,$J$2:$J$1001,0)</f>
        <v>460</v>
      </c>
    </row>
    <row r="542" spans="1:12" x14ac:dyDescent="0.3">
      <c r="A542" s="5" t="s">
        <v>17</v>
      </c>
      <c r="B542" s="5" t="s">
        <v>21</v>
      </c>
      <c r="C542" s="5" t="s">
        <v>22</v>
      </c>
      <c r="D542" s="5" t="s">
        <v>20</v>
      </c>
      <c r="E542" s="5" t="s">
        <v>12</v>
      </c>
      <c r="F542" s="5">
        <v>66</v>
      </c>
      <c r="G542" s="5">
        <v>74</v>
      </c>
      <c r="H542" s="6">
        <v>69</v>
      </c>
      <c r="I542" s="5">
        <f>SUM(F542:H542)</f>
        <v>209</v>
      </c>
      <c r="J542" s="7">
        <f>AVERAGE(F542:H542)</f>
        <v>69.666666666666671</v>
      </c>
      <c r="K542" s="8">
        <f>I542/300</f>
        <v>0.69666666666666666</v>
      </c>
      <c r="L542" s="5">
        <f>_xlfn.RANK.EQ(J542,$J$2:$J$1001,0)</f>
        <v>460</v>
      </c>
    </row>
    <row r="543" spans="1:12" x14ac:dyDescent="0.3">
      <c r="A543" s="5" t="s">
        <v>8</v>
      </c>
      <c r="B543" s="5" t="s">
        <v>9</v>
      </c>
      <c r="C543" s="5" t="s">
        <v>14</v>
      </c>
      <c r="D543" s="5" t="s">
        <v>20</v>
      </c>
      <c r="E543" s="5" t="s">
        <v>15</v>
      </c>
      <c r="F543" s="5">
        <v>65</v>
      </c>
      <c r="G543" s="5">
        <v>75</v>
      </c>
      <c r="H543" s="6">
        <v>70</v>
      </c>
      <c r="I543" s="5">
        <f>SUM(F543:H543)</f>
        <v>210</v>
      </c>
      <c r="J543" s="7">
        <f>AVERAGE(F543:H543)</f>
        <v>70</v>
      </c>
      <c r="K543" s="8">
        <f>I543/300</f>
        <v>0.7</v>
      </c>
      <c r="L543" s="5">
        <f>_xlfn.RANK.EQ(J543,$J$2:$J$1001,0)</f>
        <v>448</v>
      </c>
    </row>
    <row r="544" spans="1:12" x14ac:dyDescent="0.3">
      <c r="A544" s="5" t="s">
        <v>17</v>
      </c>
      <c r="B544" s="5" t="s">
        <v>24</v>
      </c>
      <c r="C544" s="5" t="s">
        <v>14</v>
      </c>
      <c r="D544" s="5" t="s">
        <v>11</v>
      </c>
      <c r="E544" s="5" t="s">
        <v>12</v>
      </c>
      <c r="F544" s="5">
        <v>76</v>
      </c>
      <c r="G544" s="5">
        <v>67</v>
      </c>
      <c r="H544" s="6">
        <v>67</v>
      </c>
      <c r="I544" s="5">
        <f>SUM(F544:H544)</f>
        <v>210</v>
      </c>
      <c r="J544" s="7">
        <f>AVERAGE(F544:H544)</f>
        <v>70</v>
      </c>
      <c r="K544" s="8">
        <f>I544/300</f>
        <v>0.7</v>
      </c>
      <c r="L544" s="5">
        <f>_xlfn.RANK.EQ(J544,$J$2:$J$1001,0)</f>
        <v>448</v>
      </c>
    </row>
    <row r="545" spans="1:12" x14ac:dyDescent="0.3">
      <c r="A545" s="5" t="s">
        <v>17</v>
      </c>
      <c r="B545" s="5" t="s">
        <v>9</v>
      </c>
      <c r="C545" s="5" t="s">
        <v>22</v>
      </c>
      <c r="D545" s="5" t="s">
        <v>11</v>
      </c>
      <c r="E545" s="5" t="s">
        <v>15</v>
      </c>
      <c r="F545" s="5">
        <v>73</v>
      </c>
      <c r="G545" s="5">
        <v>69</v>
      </c>
      <c r="H545" s="6">
        <v>68</v>
      </c>
      <c r="I545" s="5">
        <f>SUM(F545:H545)</f>
        <v>210</v>
      </c>
      <c r="J545" s="7">
        <f>AVERAGE(F545:H545)</f>
        <v>70</v>
      </c>
      <c r="K545" s="8">
        <f>I545/300</f>
        <v>0.7</v>
      </c>
      <c r="L545" s="5">
        <f>_xlfn.RANK.EQ(J545,$J$2:$J$1001,0)</f>
        <v>448</v>
      </c>
    </row>
    <row r="546" spans="1:12" x14ac:dyDescent="0.3">
      <c r="A546" s="5" t="s">
        <v>8</v>
      </c>
      <c r="B546" s="5" t="s">
        <v>21</v>
      </c>
      <c r="C546" s="5" t="s">
        <v>16</v>
      </c>
      <c r="D546" s="5" t="s">
        <v>20</v>
      </c>
      <c r="E546" s="5" t="s">
        <v>15</v>
      </c>
      <c r="F546" s="5">
        <v>61</v>
      </c>
      <c r="G546" s="5">
        <v>71</v>
      </c>
      <c r="H546" s="6">
        <v>78</v>
      </c>
      <c r="I546" s="5">
        <f>SUM(F546:H546)</f>
        <v>210</v>
      </c>
      <c r="J546" s="7">
        <f>AVERAGE(F546:H546)</f>
        <v>70</v>
      </c>
      <c r="K546" s="8">
        <f>I546/300</f>
        <v>0.7</v>
      </c>
      <c r="L546" s="5">
        <f>_xlfn.RANK.EQ(J546,$J$2:$J$1001,0)</f>
        <v>448</v>
      </c>
    </row>
    <row r="547" spans="1:12" x14ac:dyDescent="0.3">
      <c r="A547" s="5" t="s">
        <v>8</v>
      </c>
      <c r="B547" s="5" t="s">
        <v>13</v>
      </c>
      <c r="C547" s="5" t="s">
        <v>22</v>
      </c>
      <c r="D547" s="5" t="s">
        <v>20</v>
      </c>
      <c r="E547" s="5" t="s">
        <v>12</v>
      </c>
      <c r="F547" s="5">
        <v>66</v>
      </c>
      <c r="G547" s="5">
        <v>76</v>
      </c>
      <c r="H547" s="6">
        <v>68</v>
      </c>
      <c r="I547" s="5">
        <f>SUM(F547:H547)</f>
        <v>210</v>
      </c>
      <c r="J547" s="7">
        <f>AVERAGE(F547:H547)</f>
        <v>70</v>
      </c>
      <c r="K547" s="8">
        <f>I547/300</f>
        <v>0.7</v>
      </c>
      <c r="L547" s="5">
        <f>_xlfn.RANK.EQ(J547,$J$2:$J$1001,0)</f>
        <v>448</v>
      </c>
    </row>
    <row r="548" spans="1:12" x14ac:dyDescent="0.3">
      <c r="A548" s="5" t="s">
        <v>17</v>
      </c>
      <c r="B548" s="5" t="s">
        <v>24</v>
      </c>
      <c r="C548" s="5" t="s">
        <v>10</v>
      </c>
      <c r="D548" s="5" t="s">
        <v>20</v>
      </c>
      <c r="E548" s="5" t="s">
        <v>15</v>
      </c>
      <c r="F548" s="5">
        <v>70</v>
      </c>
      <c r="G548" s="5">
        <v>68</v>
      </c>
      <c r="H548" s="6">
        <v>72</v>
      </c>
      <c r="I548" s="5">
        <f>SUM(F548:H548)</f>
        <v>210</v>
      </c>
      <c r="J548" s="7">
        <f>AVERAGE(F548:H548)</f>
        <v>70</v>
      </c>
      <c r="K548" s="8">
        <f>I548/300</f>
        <v>0.7</v>
      </c>
      <c r="L548" s="5">
        <f>_xlfn.RANK.EQ(J548,$J$2:$J$1001,0)</f>
        <v>448</v>
      </c>
    </row>
    <row r="549" spans="1:12" x14ac:dyDescent="0.3">
      <c r="A549" s="5" t="s">
        <v>8</v>
      </c>
      <c r="B549" s="5" t="s">
        <v>13</v>
      </c>
      <c r="C549" s="5" t="s">
        <v>22</v>
      </c>
      <c r="D549" s="5" t="s">
        <v>11</v>
      </c>
      <c r="E549" s="5" t="s">
        <v>15</v>
      </c>
      <c r="F549" s="5">
        <v>58</v>
      </c>
      <c r="G549" s="5">
        <v>75</v>
      </c>
      <c r="H549" s="6">
        <v>77</v>
      </c>
      <c r="I549" s="5">
        <f>SUM(F549:H549)</f>
        <v>210</v>
      </c>
      <c r="J549" s="7">
        <f>AVERAGE(F549:H549)</f>
        <v>70</v>
      </c>
      <c r="K549" s="8">
        <f>I549/300</f>
        <v>0.7</v>
      </c>
      <c r="L549" s="5">
        <f>_xlfn.RANK.EQ(J549,$J$2:$J$1001,0)</f>
        <v>448</v>
      </c>
    </row>
    <row r="550" spans="1:12" x14ac:dyDescent="0.3">
      <c r="A550" s="5" t="s">
        <v>17</v>
      </c>
      <c r="B550" s="5" t="s">
        <v>21</v>
      </c>
      <c r="C550" s="5" t="s">
        <v>22</v>
      </c>
      <c r="D550" s="5" t="s">
        <v>11</v>
      </c>
      <c r="E550" s="5" t="s">
        <v>12</v>
      </c>
      <c r="F550" s="5">
        <v>70</v>
      </c>
      <c r="G550" s="5">
        <v>70</v>
      </c>
      <c r="H550" s="6">
        <v>70</v>
      </c>
      <c r="I550" s="5">
        <f>SUM(F550:H550)</f>
        <v>210</v>
      </c>
      <c r="J550" s="7">
        <f>AVERAGE(F550:H550)</f>
        <v>70</v>
      </c>
      <c r="K550" s="8">
        <f>I550/300</f>
        <v>0.7</v>
      </c>
      <c r="L550" s="5">
        <f>_xlfn.RANK.EQ(J550,$J$2:$J$1001,0)</f>
        <v>448</v>
      </c>
    </row>
    <row r="551" spans="1:12" x14ac:dyDescent="0.3">
      <c r="A551" s="5" t="s">
        <v>8</v>
      </c>
      <c r="B551" s="5" t="s">
        <v>13</v>
      </c>
      <c r="C551" s="5" t="s">
        <v>23</v>
      </c>
      <c r="D551" s="5" t="s">
        <v>11</v>
      </c>
      <c r="E551" s="5" t="s">
        <v>12</v>
      </c>
      <c r="F551" s="5">
        <v>65</v>
      </c>
      <c r="G551" s="5">
        <v>69</v>
      </c>
      <c r="H551" s="6">
        <v>76</v>
      </c>
      <c r="I551" s="5">
        <f>SUM(F551:H551)</f>
        <v>210</v>
      </c>
      <c r="J551" s="7">
        <f>AVERAGE(F551:H551)</f>
        <v>70</v>
      </c>
      <c r="K551" s="8">
        <f>I551/300</f>
        <v>0.7</v>
      </c>
      <c r="L551" s="5">
        <f>_xlfn.RANK.EQ(J551,$J$2:$J$1001,0)</f>
        <v>448</v>
      </c>
    </row>
    <row r="552" spans="1:12" x14ac:dyDescent="0.3">
      <c r="A552" s="5" t="s">
        <v>17</v>
      </c>
      <c r="B552" s="5" t="s">
        <v>24</v>
      </c>
      <c r="C552" s="5" t="s">
        <v>23</v>
      </c>
      <c r="D552" s="5" t="s">
        <v>11</v>
      </c>
      <c r="E552" s="5" t="s">
        <v>12</v>
      </c>
      <c r="F552" s="5">
        <v>82</v>
      </c>
      <c r="G552" s="5">
        <v>67</v>
      </c>
      <c r="H552" s="6">
        <v>61</v>
      </c>
      <c r="I552" s="5">
        <f>SUM(F552:H552)</f>
        <v>210</v>
      </c>
      <c r="J552" s="7">
        <f>AVERAGE(F552:H552)</f>
        <v>70</v>
      </c>
      <c r="K552" s="8">
        <f>I552/300</f>
        <v>0.7</v>
      </c>
      <c r="L552" s="5">
        <f>_xlfn.RANK.EQ(J552,$J$2:$J$1001,0)</f>
        <v>448</v>
      </c>
    </row>
    <row r="553" spans="1:12" x14ac:dyDescent="0.3">
      <c r="A553" s="5" t="s">
        <v>17</v>
      </c>
      <c r="B553" s="5" t="s">
        <v>13</v>
      </c>
      <c r="C553" s="5" t="s">
        <v>14</v>
      </c>
      <c r="D553" s="5" t="s">
        <v>20</v>
      </c>
      <c r="E553" s="5" t="s">
        <v>12</v>
      </c>
      <c r="F553" s="5">
        <v>80</v>
      </c>
      <c r="G553" s="5">
        <v>64</v>
      </c>
      <c r="H553" s="6">
        <v>66</v>
      </c>
      <c r="I553" s="5">
        <f>SUM(F553:H553)</f>
        <v>210</v>
      </c>
      <c r="J553" s="7">
        <f>AVERAGE(F553:H553)</f>
        <v>70</v>
      </c>
      <c r="K553" s="8">
        <f>I553/300</f>
        <v>0.7</v>
      </c>
      <c r="L553" s="5">
        <f>_xlfn.RANK.EQ(J553,$J$2:$J$1001,0)</f>
        <v>448</v>
      </c>
    </row>
    <row r="554" spans="1:12" x14ac:dyDescent="0.3">
      <c r="A554" s="5" t="s">
        <v>17</v>
      </c>
      <c r="B554" s="5" t="s">
        <v>13</v>
      </c>
      <c r="C554" s="5" t="s">
        <v>16</v>
      </c>
      <c r="D554" s="5" t="s">
        <v>20</v>
      </c>
      <c r="E554" s="5" t="s">
        <v>15</v>
      </c>
      <c r="F554" s="5">
        <v>72</v>
      </c>
      <c r="G554" s="5">
        <v>66</v>
      </c>
      <c r="H554" s="6">
        <v>72</v>
      </c>
      <c r="I554" s="5">
        <f>SUM(F554:H554)</f>
        <v>210</v>
      </c>
      <c r="J554" s="7">
        <f>AVERAGE(F554:H554)</f>
        <v>70</v>
      </c>
      <c r="K554" s="8">
        <f>I554/300</f>
        <v>0.7</v>
      </c>
      <c r="L554" s="5">
        <f>_xlfn.RANK.EQ(J554,$J$2:$J$1001,0)</f>
        <v>448</v>
      </c>
    </row>
    <row r="555" spans="1:12" x14ac:dyDescent="0.3">
      <c r="A555" s="5" t="s">
        <v>8</v>
      </c>
      <c r="B555" s="5" t="s">
        <v>13</v>
      </c>
      <c r="C555" s="5" t="s">
        <v>10</v>
      </c>
      <c r="D555" s="5" t="s">
        <v>11</v>
      </c>
      <c r="E555" s="5" t="s">
        <v>12</v>
      </c>
      <c r="F555" s="5">
        <v>67</v>
      </c>
      <c r="G555" s="5">
        <v>69</v>
      </c>
      <c r="H555" s="6">
        <v>75</v>
      </c>
      <c r="I555" s="5">
        <f>SUM(F555:H555)</f>
        <v>211</v>
      </c>
      <c r="J555" s="7">
        <f>AVERAGE(F555:H555)</f>
        <v>70.333333333333329</v>
      </c>
      <c r="K555" s="8">
        <f>I555/300</f>
        <v>0.70333333333333337</v>
      </c>
      <c r="L555" s="5">
        <f>_xlfn.RANK.EQ(J555,$J$2:$J$1001,0)</f>
        <v>440</v>
      </c>
    </row>
    <row r="556" spans="1:12" x14ac:dyDescent="0.3">
      <c r="A556" s="5" t="s">
        <v>8</v>
      </c>
      <c r="B556" s="5" t="s">
        <v>13</v>
      </c>
      <c r="C556" s="5" t="s">
        <v>10</v>
      </c>
      <c r="D556" s="5" t="s">
        <v>11</v>
      </c>
      <c r="E556" s="5" t="s">
        <v>12</v>
      </c>
      <c r="F556" s="5">
        <v>65</v>
      </c>
      <c r="G556" s="5">
        <v>72</v>
      </c>
      <c r="H556" s="6">
        <v>74</v>
      </c>
      <c r="I556" s="5">
        <f>SUM(F556:H556)</f>
        <v>211</v>
      </c>
      <c r="J556" s="7">
        <f>AVERAGE(F556:H556)</f>
        <v>70.333333333333329</v>
      </c>
      <c r="K556" s="8">
        <f>I556/300</f>
        <v>0.70333333333333337</v>
      </c>
      <c r="L556" s="5">
        <f>_xlfn.RANK.EQ(J556,$J$2:$J$1001,0)</f>
        <v>440</v>
      </c>
    </row>
    <row r="557" spans="1:12" x14ac:dyDescent="0.3">
      <c r="A557" s="5" t="s">
        <v>8</v>
      </c>
      <c r="B557" s="5" t="s">
        <v>13</v>
      </c>
      <c r="C557" s="5" t="s">
        <v>14</v>
      </c>
      <c r="D557" s="5" t="s">
        <v>11</v>
      </c>
      <c r="E557" s="5" t="s">
        <v>12</v>
      </c>
      <c r="F557" s="5">
        <v>63</v>
      </c>
      <c r="G557" s="5">
        <v>74</v>
      </c>
      <c r="H557" s="6">
        <v>74</v>
      </c>
      <c r="I557" s="5">
        <f>SUM(F557:H557)</f>
        <v>211</v>
      </c>
      <c r="J557" s="7">
        <f>AVERAGE(F557:H557)</f>
        <v>70.333333333333329</v>
      </c>
      <c r="K557" s="8">
        <f>I557/300</f>
        <v>0.70333333333333337</v>
      </c>
      <c r="L557" s="5">
        <f>_xlfn.RANK.EQ(J557,$J$2:$J$1001,0)</f>
        <v>440</v>
      </c>
    </row>
    <row r="558" spans="1:12" x14ac:dyDescent="0.3">
      <c r="A558" s="5" t="s">
        <v>8</v>
      </c>
      <c r="B558" s="5" t="s">
        <v>21</v>
      </c>
      <c r="C558" s="5" t="s">
        <v>23</v>
      </c>
      <c r="D558" s="5" t="s">
        <v>11</v>
      </c>
      <c r="E558" s="5" t="s">
        <v>12</v>
      </c>
      <c r="F558" s="5">
        <v>59</v>
      </c>
      <c r="G558" s="5">
        <v>72</v>
      </c>
      <c r="H558" s="6">
        <v>80</v>
      </c>
      <c r="I558" s="5">
        <f>SUM(F558:H558)</f>
        <v>211</v>
      </c>
      <c r="J558" s="7">
        <f>AVERAGE(F558:H558)</f>
        <v>70.333333333333329</v>
      </c>
      <c r="K558" s="8">
        <f>I558/300</f>
        <v>0.70333333333333337</v>
      </c>
      <c r="L558" s="5">
        <f>_xlfn.RANK.EQ(J558,$J$2:$J$1001,0)</f>
        <v>440</v>
      </c>
    </row>
    <row r="559" spans="1:12" x14ac:dyDescent="0.3">
      <c r="A559" s="5" t="s">
        <v>8</v>
      </c>
      <c r="B559" s="5" t="s">
        <v>24</v>
      </c>
      <c r="C559" s="5" t="s">
        <v>10</v>
      </c>
      <c r="D559" s="5" t="s">
        <v>11</v>
      </c>
      <c r="E559" s="5" t="s">
        <v>15</v>
      </c>
      <c r="F559" s="5">
        <v>71</v>
      </c>
      <c r="G559" s="5">
        <v>70</v>
      </c>
      <c r="H559" s="6">
        <v>70</v>
      </c>
      <c r="I559" s="5">
        <f>SUM(F559:H559)</f>
        <v>211</v>
      </c>
      <c r="J559" s="7">
        <f>AVERAGE(F559:H559)</f>
        <v>70.333333333333329</v>
      </c>
      <c r="K559" s="8">
        <f>I559/300</f>
        <v>0.70333333333333337</v>
      </c>
      <c r="L559" s="5">
        <f>_xlfn.RANK.EQ(J559,$J$2:$J$1001,0)</f>
        <v>440</v>
      </c>
    </row>
    <row r="560" spans="1:12" x14ac:dyDescent="0.3">
      <c r="A560" s="5" t="s">
        <v>17</v>
      </c>
      <c r="B560" s="5" t="s">
        <v>13</v>
      </c>
      <c r="C560" s="5" t="s">
        <v>14</v>
      </c>
      <c r="D560" s="5" t="s">
        <v>20</v>
      </c>
      <c r="E560" s="5" t="s">
        <v>15</v>
      </c>
      <c r="F560" s="5">
        <v>67</v>
      </c>
      <c r="G560" s="5">
        <v>74</v>
      </c>
      <c r="H560" s="6">
        <v>70</v>
      </c>
      <c r="I560" s="5">
        <f>SUM(F560:H560)</f>
        <v>211</v>
      </c>
      <c r="J560" s="7">
        <f>AVERAGE(F560:H560)</f>
        <v>70.333333333333329</v>
      </c>
      <c r="K560" s="8">
        <f>I560/300</f>
        <v>0.70333333333333337</v>
      </c>
      <c r="L560" s="5">
        <f>_xlfn.RANK.EQ(J560,$J$2:$J$1001,0)</f>
        <v>440</v>
      </c>
    </row>
    <row r="561" spans="1:12" x14ac:dyDescent="0.3">
      <c r="A561" s="5" t="s">
        <v>17</v>
      </c>
      <c r="B561" s="5" t="s">
        <v>13</v>
      </c>
      <c r="C561" s="5" t="s">
        <v>22</v>
      </c>
      <c r="D561" s="5" t="s">
        <v>11</v>
      </c>
      <c r="E561" s="5" t="s">
        <v>12</v>
      </c>
      <c r="F561" s="5">
        <v>81</v>
      </c>
      <c r="G561" s="5">
        <v>66</v>
      </c>
      <c r="H561" s="6">
        <v>64</v>
      </c>
      <c r="I561" s="5">
        <f>SUM(F561:H561)</f>
        <v>211</v>
      </c>
      <c r="J561" s="7">
        <f>AVERAGE(F561:H561)</f>
        <v>70.333333333333329</v>
      </c>
      <c r="K561" s="8">
        <f>I561/300</f>
        <v>0.70333333333333337</v>
      </c>
      <c r="L561" s="5">
        <f>_xlfn.RANK.EQ(J561,$J$2:$J$1001,0)</f>
        <v>440</v>
      </c>
    </row>
    <row r="562" spans="1:12" x14ac:dyDescent="0.3">
      <c r="A562" s="5" t="s">
        <v>8</v>
      </c>
      <c r="B562" s="5" t="s">
        <v>24</v>
      </c>
      <c r="C562" s="5" t="s">
        <v>19</v>
      </c>
      <c r="D562" s="5" t="s">
        <v>11</v>
      </c>
      <c r="E562" s="5" t="s">
        <v>12</v>
      </c>
      <c r="F562" s="5">
        <v>68</v>
      </c>
      <c r="G562" s="5">
        <v>76</v>
      </c>
      <c r="H562" s="6">
        <v>67</v>
      </c>
      <c r="I562" s="5">
        <f>SUM(F562:H562)</f>
        <v>211</v>
      </c>
      <c r="J562" s="7">
        <f>AVERAGE(F562:H562)</f>
        <v>70.333333333333329</v>
      </c>
      <c r="K562" s="8">
        <f>I562/300</f>
        <v>0.70333333333333337</v>
      </c>
      <c r="L562" s="5">
        <f>_xlfn.RANK.EQ(J562,$J$2:$J$1001,0)</f>
        <v>440</v>
      </c>
    </row>
    <row r="563" spans="1:12" x14ac:dyDescent="0.3">
      <c r="A563" s="5" t="s">
        <v>17</v>
      </c>
      <c r="B563" s="5" t="s">
        <v>18</v>
      </c>
      <c r="C563" s="5" t="s">
        <v>10</v>
      </c>
      <c r="D563" s="5" t="s">
        <v>11</v>
      </c>
      <c r="E563" s="5" t="s">
        <v>12</v>
      </c>
      <c r="F563" s="5">
        <v>77</v>
      </c>
      <c r="G563" s="5">
        <v>67</v>
      </c>
      <c r="H563" s="6">
        <v>68</v>
      </c>
      <c r="I563" s="5">
        <f>SUM(F563:H563)</f>
        <v>212</v>
      </c>
      <c r="J563" s="7">
        <f>AVERAGE(F563:H563)</f>
        <v>70.666666666666671</v>
      </c>
      <c r="K563" s="8">
        <f>I563/300</f>
        <v>0.70666666666666667</v>
      </c>
      <c r="L563" s="5">
        <f>_xlfn.RANK.EQ(J563,$J$2:$J$1001,0)</f>
        <v>435</v>
      </c>
    </row>
    <row r="564" spans="1:12" x14ac:dyDescent="0.3">
      <c r="A564" s="5" t="s">
        <v>8</v>
      </c>
      <c r="B564" s="5" t="s">
        <v>9</v>
      </c>
      <c r="C564" s="5" t="s">
        <v>16</v>
      </c>
      <c r="D564" s="5" t="s">
        <v>20</v>
      </c>
      <c r="E564" s="5" t="s">
        <v>15</v>
      </c>
      <c r="F564" s="5">
        <v>58</v>
      </c>
      <c r="G564" s="5">
        <v>76</v>
      </c>
      <c r="H564" s="6">
        <v>78</v>
      </c>
      <c r="I564" s="5">
        <f>SUM(F564:H564)</f>
        <v>212</v>
      </c>
      <c r="J564" s="7">
        <f>AVERAGE(F564:H564)</f>
        <v>70.666666666666671</v>
      </c>
      <c r="K564" s="8">
        <f>I564/300</f>
        <v>0.70666666666666667</v>
      </c>
      <c r="L564" s="5">
        <f>_xlfn.RANK.EQ(J564,$J$2:$J$1001,0)</f>
        <v>435</v>
      </c>
    </row>
    <row r="565" spans="1:12" x14ac:dyDescent="0.3">
      <c r="A565" s="5" t="s">
        <v>8</v>
      </c>
      <c r="B565" s="5" t="s">
        <v>13</v>
      </c>
      <c r="C565" s="5" t="s">
        <v>14</v>
      </c>
      <c r="D565" s="5" t="s">
        <v>20</v>
      </c>
      <c r="E565" s="5" t="s">
        <v>15</v>
      </c>
      <c r="F565" s="5">
        <v>67</v>
      </c>
      <c r="G565" s="5">
        <v>75</v>
      </c>
      <c r="H565" s="6">
        <v>70</v>
      </c>
      <c r="I565" s="5">
        <f>SUM(F565:H565)</f>
        <v>212</v>
      </c>
      <c r="J565" s="7">
        <f>AVERAGE(F565:H565)</f>
        <v>70.666666666666671</v>
      </c>
      <c r="K565" s="8">
        <f>I565/300</f>
        <v>0.70666666666666667</v>
      </c>
      <c r="L565" s="5">
        <f>_xlfn.RANK.EQ(J565,$J$2:$J$1001,0)</f>
        <v>435</v>
      </c>
    </row>
    <row r="566" spans="1:12" x14ac:dyDescent="0.3">
      <c r="A566" s="5" t="s">
        <v>17</v>
      </c>
      <c r="B566" s="5" t="s">
        <v>9</v>
      </c>
      <c r="C566" s="5" t="s">
        <v>22</v>
      </c>
      <c r="D566" s="5" t="s">
        <v>11</v>
      </c>
      <c r="E566" s="5" t="s">
        <v>15</v>
      </c>
      <c r="F566" s="5">
        <v>73</v>
      </c>
      <c r="G566" s="5">
        <v>71</v>
      </c>
      <c r="H566" s="6">
        <v>68</v>
      </c>
      <c r="I566" s="5">
        <f>SUM(F566:H566)</f>
        <v>212</v>
      </c>
      <c r="J566" s="7">
        <f>AVERAGE(F566:H566)</f>
        <v>70.666666666666671</v>
      </c>
      <c r="K566" s="8">
        <f>I566/300</f>
        <v>0.70666666666666667</v>
      </c>
      <c r="L566" s="5">
        <f>_xlfn.RANK.EQ(J566,$J$2:$J$1001,0)</f>
        <v>435</v>
      </c>
    </row>
    <row r="567" spans="1:12" x14ac:dyDescent="0.3">
      <c r="A567" s="5" t="s">
        <v>17</v>
      </c>
      <c r="B567" s="5" t="s">
        <v>13</v>
      </c>
      <c r="C567" s="5" t="s">
        <v>22</v>
      </c>
      <c r="D567" s="5" t="s">
        <v>11</v>
      </c>
      <c r="E567" s="5" t="s">
        <v>15</v>
      </c>
      <c r="F567" s="5">
        <v>75</v>
      </c>
      <c r="G567" s="5">
        <v>69</v>
      </c>
      <c r="H567" s="6">
        <v>68</v>
      </c>
      <c r="I567" s="5">
        <f>SUM(F567:H567)</f>
        <v>212</v>
      </c>
      <c r="J567" s="7">
        <f>AVERAGE(F567:H567)</f>
        <v>70.666666666666671</v>
      </c>
      <c r="K567" s="8">
        <f>I567/300</f>
        <v>0.70666666666666667</v>
      </c>
      <c r="L567" s="5">
        <f>_xlfn.RANK.EQ(J567,$J$2:$J$1001,0)</f>
        <v>435</v>
      </c>
    </row>
    <row r="568" spans="1:12" x14ac:dyDescent="0.3">
      <c r="A568" s="5" t="s">
        <v>8</v>
      </c>
      <c r="B568" s="5" t="s">
        <v>13</v>
      </c>
      <c r="C568" s="5" t="s">
        <v>22</v>
      </c>
      <c r="D568" s="5" t="s">
        <v>11</v>
      </c>
      <c r="E568" s="5" t="s">
        <v>12</v>
      </c>
      <c r="F568" s="5">
        <v>66</v>
      </c>
      <c r="G568" s="5">
        <v>71</v>
      </c>
      <c r="H568" s="6">
        <v>76</v>
      </c>
      <c r="I568" s="5">
        <f>SUM(F568:H568)</f>
        <v>213</v>
      </c>
      <c r="J568" s="7">
        <f>AVERAGE(F568:H568)</f>
        <v>71</v>
      </c>
      <c r="K568" s="8">
        <f>I568/300</f>
        <v>0.71</v>
      </c>
      <c r="L568" s="5">
        <f>_xlfn.RANK.EQ(J568,$J$2:$J$1001,0)</f>
        <v>424</v>
      </c>
    </row>
    <row r="569" spans="1:12" x14ac:dyDescent="0.3">
      <c r="A569" s="5" t="s">
        <v>17</v>
      </c>
      <c r="B569" s="5" t="s">
        <v>9</v>
      </c>
      <c r="C569" s="5" t="s">
        <v>14</v>
      </c>
      <c r="D569" s="5" t="s">
        <v>11</v>
      </c>
      <c r="E569" s="5" t="s">
        <v>12</v>
      </c>
      <c r="F569" s="5">
        <v>79</v>
      </c>
      <c r="G569" s="5">
        <v>67</v>
      </c>
      <c r="H569" s="6">
        <v>67</v>
      </c>
      <c r="I569" s="5">
        <f>SUM(F569:H569)</f>
        <v>213</v>
      </c>
      <c r="J569" s="7">
        <f>AVERAGE(F569:H569)</f>
        <v>71</v>
      </c>
      <c r="K569" s="8">
        <f>I569/300</f>
        <v>0.71</v>
      </c>
      <c r="L569" s="5">
        <f>_xlfn.RANK.EQ(J569,$J$2:$J$1001,0)</f>
        <v>424</v>
      </c>
    </row>
    <row r="570" spans="1:12" x14ac:dyDescent="0.3">
      <c r="A570" s="5" t="s">
        <v>17</v>
      </c>
      <c r="B570" s="5" t="s">
        <v>9</v>
      </c>
      <c r="C570" s="5" t="s">
        <v>22</v>
      </c>
      <c r="D570" s="5" t="s">
        <v>20</v>
      </c>
      <c r="E570" s="5" t="s">
        <v>12</v>
      </c>
      <c r="F570" s="5">
        <v>66</v>
      </c>
      <c r="G570" s="5">
        <v>77</v>
      </c>
      <c r="H570" s="6">
        <v>70</v>
      </c>
      <c r="I570" s="5">
        <f>SUM(F570:H570)</f>
        <v>213</v>
      </c>
      <c r="J570" s="7">
        <f>AVERAGE(F570:H570)</f>
        <v>71</v>
      </c>
      <c r="K570" s="8">
        <f>I570/300</f>
        <v>0.71</v>
      </c>
      <c r="L570" s="5">
        <f>_xlfn.RANK.EQ(J570,$J$2:$J$1001,0)</f>
        <v>424</v>
      </c>
    </row>
    <row r="571" spans="1:12" x14ac:dyDescent="0.3">
      <c r="A571" s="5" t="s">
        <v>8</v>
      </c>
      <c r="B571" s="5" t="s">
        <v>24</v>
      </c>
      <c r="C571" s="5" t="s">
        <v>10</v>
      </c>
      <c r="D571" s="5" t="s">
        <v>11</v>
      </c>
      <c r="E571" s="5" t="s">
        <v>12</v>
      </c>
      <c r="F571" s="5">
        <v>65</v>
      </c>
      <c r="G571" s="5">
        <v>73</v>
      </c>
      <c r="H571" s="6">
        <v>75</v>
      </c>
      <c r="I571" s="5">
        <f>SUM(F571:H571)</f>
        <v>213</v>
      </c>
      <c r="J571" s="7">
        <f>AVERAGE(F571:H571)</f>
        <v>71</v>
      </c>
      <c r="K571" s="8">
        <f>I571/300</f>
        <v>0.71</v>
      </c>
      <c r="L571" s="5">
        <f>_xlfn.RANK.EQ(J571,$J$2:$J$1001,0)</f>
        <v>424</v>
      </c>
    </row>
    <row r="572" spans="1:12" x14ac:dyDescent="0.3">
      <c r="A572" s="5" t="s">
        <v>17</v>
      </c>
      <c r="B572" s="5" t="s">
        <v>24</v>
      </c>
      <c r="C572" s="5" t="s">
        <v>19</v>
      </c>
      <c r="D572" s="5" t="s">
        <v>11</v>
      </c>
      <c r="E572" s="5" t="s">
        <v>15</v>
      </c>
      <c r="F572" s="5">
        <v>71</v>
      </c>
      <c r="G572" s="5">
        <v>74</v>
      </c>
      <c r="H572" s="6">
        <v>68</v>
      </c>
      <c r="I572" s="5">
        <f>SUM(F572:H572)</f>
        <v>213</v>
      </c>
      <c r="J572" s="7">
        <f>AVERAGE(F572:H572)</f>
        <v>71</v>
      </c>
      <c r="K572" s="8">
        <f>I572/300</f>
        <v>0.71</v>
      </c>
      <c r="L572" s="5">
        <f>_xlfn.RANK.EQ(J572,$J$2:$J$1001,0)</f>
        <v>424</v>
      </c>
    </row>
    <row r="573" spans="1:12" x14ac:dyDescent="0.3">
      <c r="A573" s="5" t="s">
        <v>17</v>
      </c>
      <c r="B573" s="5" t="s">
        <v>13</v>
      </c>
      <c r="C573" s="5" t="s">
        <v>10</v>
      </c>
      <c r="D573" s="5" t="s">
        <v>11</v>
      </c>
      <c r="E573" s="5" t="s">
        <v>15</v>
      </c>
      <c r="F573" s="5">
        <v>71</v>
      </c>
      <c r="G573" s="5">
        <v>74</v>
      </c>
      <c r="H573" s="6">
        <v>68</v>
      </c>
      <c r="I573" s="5">
        <f>SUM(F573:H573)</f>
        <v>213</v>
      </c>
      <c r="J573" s="7">
        <f>AVERAGE(F573:H573)</f>
        <v>71</v>
      </c>
      <c r="K573" s="8">
        <f>I573/300</f>
        <v>0.71</v>
      </c>
      <c r="L573" s="5">
        <f>_xlfn.RANK.EQ(J573,$J$2:$J$1001,0)</f>
        <v>424</v>
      </c>
    </row>
    <row r="574" spans="1:12" x14ac:dyDescent="0.3">
      <c r="A574" s="5" t="s">
        <v>8</v>
      </c>
      <c r="B574" s="5" t="s">
        <v>21</v>
      </c>
      <c r="C574" s="5" t="s">
        <v>14</v>
      </c>
      <c r="D574" s="5" t="s">
        <v>20</v>
      </c>
      <c r="E574" s="5" t="s">
        <v>15</v>
      </c>
      <c r="F574" s="5">
        <v>59</v>
      </c>
      <c r="G574" s="5">
        <v>78</v>
      </c>
      <c r="H574" s="6">
        <v>76</v>
      </c>
      <c r="I574" s="5">
        <f>SUM(F574:H574)</f>
        <v>213</v>
      </c>
      <c r="J574" s="7">
        <f>AVERAGE(F574:H574)</f>
        <v>71</v>
      </c>
      <c r="K574" s="8">
        <f>I574/300</f>
        <v>0.71</v>
      </c>
      <c r="L574" s="5">
        <f>_xlfn.RANK.EQ(J574,$J$2:$J$1001,0)</f>
        <v>424</v>
      </c>
    </row>
    <row r="575" spans="1:12" x14ac:dyDescent="0.3">
      <c r="A575" s="5" t="s">
        <v>8</v>
      </c>
      <c r="B575" s="5" t="s">
        <v>24</v>
      </c>
      <c r="C575" s="5" t="s">
        <v>14</v>
      </c>
      <c r="D575" s="5" t="s">
        <v>11</v>
      </c>
      <c r="E575" s="5" t="s">
        <v>15</v>
      </c>
      <c r="F575" s="5">
        <v>66</v>
      </c>
      <c r="G575" s="5">
        <v>74</v>
      </c>
      <c r="H575" s="6">
        <v>73</v>
      </c>
      <c r="I575" s="5">
        <f>SUM(F575:H575)</f>
        <v>213</v>
      </c>
      <c r="J575" s="7">
        <f>AVERAGE(F575:H575)</f>
        <v>71</v>
      </c>
      <c r="K575" s="8">
        <f>I575/300</f>
        <v>0.71</v>
      </c>
      <c r="L575" s="5">
        <f>_xlfn.RANK.EQ(J575,$J$2:$J$1001,0)</f>
        <v>424</v>
      </c>
    </row>
    <row r="576" spans="1:12" x14ac:dyDescent="0.3">
      <c r="A576" s="5" t="s">
        <v>8</v>
      </c>
      <c r="B576" s="5" t="s">
        <v>21</v>
      </c>
      <c r="C576" s="5" t="s">
        <v>22</v>
      </c>
      <c r="D576" s="5" t="s">
        <v>11</v>
      </c>
      <c r="E576" s="5" t="s">
        <v>12</v>
      </c>
      <c r="F576" s="5">
        <v>67</v>
      </c>
      <c r="G576" s="5">
        <v>72</v>
      </c>
      <c r="H576" s="6">
        <v>74</v>
      </c>
      <c r="I576" s="5">
        <f>SUM(F576:H576)</f>
        <v>213</v>
      </c>
      <c r="J576" s="7">
        <f>AVERAGE(F576:H576)</f>
        <v>71</v>
      </c>
      <c r="K576" s="8">
        <f>I576/300</f>
        <v>0.71</v>
      </c>
      <c r="L576" s="5">
        <f>_xlfn.RANK.EQ(J576,$J$2:$J$1001,0)</f>
        <v>424</v>
      </c>
    </row>
    <row r="577" spans="1:12" x14ac:dyDescent="0.3">
      <c r="A577" s="5" t="s">
        <v>8</v>
      </c>
      <c r="B577" s="5" t="s">
        <v>21</v>
      </c>
      <c r="C577" s="5" t="s">
        <v>14</v>
      </c>
      <c r="D577" s="5" t="s">
        <v>20</v>
      </c>
      <c r="E577" s="5" t="s">
        <v>12</v>
      </c>
      <c r="F577" s="5">
        <v>64</v>
      </c>
      <c r="G577" s="5">
        <v>74</v>
      </c>
      <c r="H577" s="6">
        <v>75</v>
      </c>
      <c r="I577" s="5">
        <f>SUM(F577:H577)</f>
        <v>213</v>
      </c>
      <c r="J577" s="7">
        <f>AVERAGE(F577:H577)</f>
        <v>71</v>
      </c>
      <c r="K577" s="8">
        <f>I577/300</f>
        <v>0.71</v>
      </c>
      <c r="L577" s="5">
        <f>_xlfn.RANK.EQ(J577,$J$2:$J$1001,0)</f>
        <v>424</v>
      </c>
    </row>
    <row r="578" spans="1:12" x14ac:dyDescent="0.3">
      <c r="A578" s="5" t="s">
        <v>17</v>
      </c>
      <c r="B578" s="5" t="s">
        <v>21</v>
      </c>
      <c r="C578" s="5" t="s">
        <v>22</v>
      </c>
      <c r="D578" s="5" t="s">
        <v>20</v>
      </c>
      <c r="E578" s="5" t="s">
        <v>12</v>
      </c>
      <c r="F578" s="5">
        <v>74</v>
      </c>
      <c r="G578" s="5">
        <v>70</v>
      </c>
      <c r="H578" s="6">
        <v>69</v>
      </c>
      <c r="I578" s="5">
        <f>SUM(F578:H578)</f>
        <v>213</v>
      </c>
      <c r="J578" s="7">
        <f>AVERAGE(F578:H578)</f>
        <v>71</v>
      </c>
      <c r="K578" s="8">
        <f>I578/300</f>
        <v>0.71</v>
      </c>
      <c r="L578" s="5">
        <f>_xlfn.RANK.EQ(J578,$J$2:$J$1001,0)</f>
        <v>424</v>
      </c>
    </row>
    <row r="579" spans="1:12" x14ac:dyDescent="0.3">
      <c r="A579" s="5" t="s">
        <v>17</v>
      </c>
      <c r="B579" s="5" t="s">
        <v>24</v>
      </c>
      <c r="C579" s="5" t="s">
        <v>19</v>
      </c>
      <c r="D579" s="5" t="s">
        <v>20</v>
      </c>
      <c r="E579" s="5" t="s">
        <v>15</v>
      </c>
      <c r="F579" s="5">
        <v>77</v>
      </c>
      <c r="G579" s="5">
        <v>69</v>
      </c>
      <c r="H579" s="6">
        <v>68</v>
      </c>
      <c r="I579" s="5">
        <f>SUM(F579:H579)</f>
        <v>214</v>
      </c>
      <c r="J579" s="7">
        <f>AVERAGE(F579:H579)</f>
        <v>71.333333333333329</v>
      </c>
      <c r="K579" s="8">
        <f>I579/300</f>
        <v>0.71333333333333337</v>
      </c>
      <c r="L579" s="5">
        <f>_xlfn.RANK.EQ(J579,$J$2:$J$1001,0)</f>
        <v>412</v>
      </c>
    </row>
    <row r="580" spans="1:12" x14ac:dyDescent="0.3">
      <c r="A580" s="5" t="s">
        <v>17</v>
      </c>
      <c r="B580" s="5" t="s">
        <v>13</v>
      </c>
      <c r="C580" s="5" t="s">
        <v>19</v>
      </c>
      <c r="D580" s="5" t="s">
        <v>11</v>
      </c>
      <c r="E580" s="5" t="s">
        <v>12</v>
      </c>
      <c r="F580" s="5">
        <v>76</v>
      </c>
      <c r="G580" s="5">
        <v>70</v>
      </c>
      <c r="H580" s="6">
        <v>68</v>
      </c>
      <c r="I580" s="5">
        <f>SUM(F580:H580)</f>
        <v>214</v>
      </c>
      <c r="J580" s="7">
        <f>AVERAGE(F580:H580)</f>
        <v>71.333333333333329</v>
      </c>
      <c r="K580" s="8">
        <f>I580/300</f>
        <v>0.71333333333333337</v>
      </c>
      <c r="L580" s="5">
        <f>_xlfn.RANK.EQ(J580,$J$2:$J$1001,0)</f>
        <v>412</v>
      </c>
    </row>
    <row r="581" spans="1:12" x14ac:dyDescent="0.3">
      <c r="A581" s="5" t="s">
        <v>17</v>
      </c>
      <c r="B581" s="5" t="s">
        <v>13</v>
      </c>
      <c r="C581" s="5" t="s">
        <v>19</v>
      </c>
      <c r="D581" s="5" t="s">
        <v>11</v>
      </c>
      <c r="E581" s="5" t="s">
        <v>12</v>
      </c>
      <c r="F581" s="5">
        <v>74</v>
      </c>
      <c r="G581" s="5">
        <v>73</v>
      </c>
      <c r="H581" s="6">
        <v>67</v>
      </c>
      <c r="I581" s="5">
        <f>SUM(F581:H581)</f>
        <v>214</v>
      </c>
      <c r="J581" s="7">
        <f>AVERAGE(F581:H581)</f>
        <v>71.333333333333329</v>
      </c>
      <c r="K581" s="8">
        <f>I581/300</f>
        <v>0.71333333333333337</v>
      </c>
      <c r="L581" s="5">
        <f>_xlfn.RANK.EQ(J581,$J$2:$J$1001,0)</f>
        <v>412</v>
      </c>
    </row>
    <row r="582" spans="1:12" x14ac:dyDescent="0.3">
      <c r="A582" s="5" t="s">
        <v>17</v>
      </c>
      <c r="B582" s="5" t="s">
        <v>21</v>
      </c>
      <c r="C582" s="5" t="s">
        <v>19</v>
      </c>
      <c r="D582" s="5" t="s">
        <v>20</v>
      </c>
      <c r="E582" s="5" t="s">
        <v>12</v>
      </c>
      <c r="F582" s="5">
        <v>75</v>
      </c>
      <c r="G582" s="5">
        <v>66</v>
      </c>
      <c r="H582" s="6">
        <v>73</v>
      </c>
      <c r="I582" s="5">
        <f>SUM(F582:H582)</f>
        <v>214</v>
      </c>
      <c r="J582" s="7">
        <f>AVERAGE(F582:H582)</f>
        <v>71.333333333333329</v>
      </c>
      <c r="K582" s="8">
        <f>I582/300</f>
        <v>0.71333333333333337</v>
      </c>
      <c r="L582" s="5">
        <f>_xlfn.RANK.EQ(J582,$J$2:$J$1001,0)</f>
        <v>412</v>
      </c>
    </row>
    <row r="583" spans="1:12" x14ac:dyDescent="0.3">
      <c r="A583" s="5" t="s">
        <v>17</v>
      </c>
      <c r="B583" s="5" t="s">
        <v>24</v>
      </c>
      <c r="C583" s="5" t="s">
        <v>19</v>
      </c>
      <c r="D583" s="5" t="s">
        <v>11</v>
      </c>
      <c r="E583" s="5" t="s">
        <v>12</v>
      </c>
      <c r="F583" s="5">
        <v>76</v>
      </c>
      <c r="G583" s="5">
        <v>71</v>
      </c>
      <c r="H583" s="6">
        <v>67</v>
      </c>
      <c r="I583" s="5">
        <f>SUM(F583:H583)</f>
        <v>214</v>
      </c>
      <c r="J583" s="7">
        <f>AVERAGE(F583:H583)</f>
        <v>71.333333333333329</v>
      </c>
      <c r="K583" s="8">
        <f>I583/300</f>
        <v>0.71333333333333337</v>
      </c>
      <c r="L583" s="5">
        <f>_xlfn.RANK.EQ(J583,$J$2:$J$1001,0)</f>
        <v>412</v>
      </c>
    </row>
    <row r="584" spans="1:12" x14ac:dyDescent="0.3">
      <c r="A584" s="5" t="s">
        <v>8</v>
      </c>
      <c r="B584" s="5" t="s">
        <v>21</v>
      </c>
      <c r="C584" s="5" t="s">
        <v>10</v>
      </c>
      <c r="D584" s="5" t="s">
        <v>20</v>
      </c>
      <c r="E584" s="5" t="s">
        <v>12</v>
      </c>
      <c r="F584" s="5">
        <v>63</v>
      </c>
      <c r="G584" s="5">
        <v>73</v>
      </c>
      <c r="H584" s="6">
        <v>78</v>
      </c>
      <c r="I584" s="5">
        <f>SUM(F584:H584)</f>
        <v>214</v>
      </c>
      <c r="J584" s="7">
        <f>AVERAGE(F584:H584)</f>
        <v>71.333333333333329</v>
      </c>
      <c r="K584" s="8">
        <f>I584/300</f>
        <v>0.71333333333333337</v>
      </c>
      <c r="L584" s="5">
        <f>_xlfn.RANK.EQ(J584,$J$2:$J$1001,0)</f>
        <v>412</v>
      </c>
    </row>
    <row r="585" spans="1:12" x14ac:dyDescent="0.3">
      <c r="A585" s="5" t="s">
        <v>8</v>
      </c>
      <c r="B585" s="5" t="s">
        <v>21</v>
      </c>
      <c r="C585" s="5" t="s">
        <v>19</v>
      </c>
      <c r="D585" s="5" t="s">
        <v>11</v>
      </c>
      <c r="E585" s="5" t="s">
        <v>15</v>
      </c>
      <c r="F585" s="5">
        <v>57</v>
      </c>
      <c r="G585" s="5">
        <v>78</v>
      </c>
      <c r="H585" s="6">
        <v>79</v>
      </c>
      <c r="I585" s="5">
        <f>SUM(F585:H585)</f>
        <v>214</v>
      </c>
      <c r="J585" s="7">
        <f>AVERAGE(F585:H585)</f>
        <v>71.333333333333329</v>
      </c>
      <c r="K585" s="8">
        <f>I585/300</f>
        <v>0.71333333333333337</v>
      </c>
      <c r="L585" s="5">
        <f>_xlfn.RANK.EQ(J585,$J$2:$J$1001,0)</f>
        <v>412</v>
      </c>
    </row>
    <row r="586" spans="1:12" x14ac:dyDescent="0.3">
      <c r="A586" s="5" t="s">
        <v>8</v>
      </c>
      <c r="B586" s="5" t="s">
        <v>21</v>
      </c>
      <c r="C586" s="5" t="s">
        <v>23</v>
      </c>
      <c r="D586" s="5" t="s">
        <v>11</v>
      </c>
      <c r="E586" s="5" t="s">
        <v>12</v>
      </c>
      <c r="F586" s="5">
        <v>68</v>
      </c>
      <c r="G586" s="5">
        <v>71</v>
      </c>
      <c r="H586" s="6">
        <v>75</v>
      </c>
      <c r="I586" s="5">
        <f>SUM(F586:H586)</f>
        <v>214</v>
      </c>
      <c r="J586" s="7">
        <f>AVERAGE(F586:H586)</f>
        <v>71.333333333333329</v>
      </c>
      <c r="K586" s="8">
        <f>I586/300</f>
        <v>0.71333333333333337</v>
      </c>
      <c r="L586" s="5">
        <f>_xlfn.RANK.EQ(J586,$J$2:$J$1001,0)</f>
        <v>412</v>
      </c>
    </row>
    <row r="587" spans="1:12" x14ac:dyDescent="0.3">
      <c r="A587" s="5" t="s">
        <v>8</v>
      </c>
      <c r="B587" s="5" t="s">
        <v>21</v>
      </c>
      <c r="C587" s="5" t="s">
        <v>19</v>
      </c>
      <c r="D587" s="5" t="s">
        <v>11</v>
      </c>
      <c r="E587" s="5" t="s">
        <v>12</v>
      </c>
      <c r="F587" s="5">
        <v>64</v>
      </c>
      <c r="G587" s="5">
        <v>76</v>
      </c>
      <c r="H587" s="6">
        <v>74</v>
      </c>
      <c r="I587" s="5">
        <f>SUM(F587:H587)</f>
        <v>214</v>
      </c>
      <c r="J587" s="7">
        <f>AVERAGE(F587:H587)</f>
        <v>71.333333333333329</v>
      </c>
      <c r="K587" s="8">
        <f>I587/300</f>
        <v>0.71333333333333337</v>
      </c>
      <c r="L587" s="5">
        <f>_xlfn.RANK.EQ(J587,$J$2:$J$1001,0)</f>
        <v>412</v>
      </c>
    </row>
    <row r="588" spans="1:12" x14ac:dyDescent="0.3">
      <c r="A588" s="5" t="s">
        <v>8</v>
      </c>
      <c r="B588" s="5" t="s">
        <v>13</v>
      </c>
      <c r="C588" s="5" t="s">
        <v>10</v>
      </c>
      <c r="D588" s="5" t="s">
        <v>20</v>
      </c>
      <c r="E588" s="5" t="s">
        <v>12</v>
      </c>
      <c r="F588" s="5">
        <v>67</v>
      </c>
      <c r="G588" s="5">
        <v>75</v>
      </c>
      <c r="H588" s="6">
        <v>72</v>
      </c>
      <c r="I588" s="5">
        <f>SUM(F588:H588)</f>
        <v>214</v>
      </c>
      <c r="J588" s="7">
        <f>AVERAGE(F588:H588)</f>
        <v>71.333333333333329</v>
      </c>
      <c r="K588" s="8">
        <f>I588/300</f>
        <v>0.71333333333333337</v>
      </c>
      <c r="L588" s="5">
        <f>_xlfn.RANK.EQ(J588,$J$2:$J$1001,0)</f>
        <v>412</v>
      </c>
    </row>
    <row r="589" spans="1:12" x14ac:dyDescent="0.3">
      <c r="A589" s="5" t="s">
        <v>8</v>
      </c>
      <c r="B589" s="5" t="s">
        <v>13</v>
      </c>
      <c r="C589" s="5" t="s">
        <v>19</v>
      </c>
      <c r="D589" s="5" t="s">
        <v>11</v>
      </c>
      <c r="E589" s="5" t="s">
        <v>15</v>
      </c>
      <c r="F589" s="5">
        <v>57</v>
      </c>
      <c r="G589" s="5">
        <v>77</v>
      </c>
      <c r="H589" s="6">
        <v>80</v>
      </c>
      <c r="I589" s="5">
        <f>SUM(F589:H589)</f>
        <v>214</v>
      </c>
      <c r="J589" s="7">
        <f>AVERAGE(F589:H589)</f>
        <v>71.333333333333329</v>
      </c>
      <c r="K589" s="8">
        <f>I589/300</f>
        <v>0.71333333333333337</v>
      </c>
      <c r="L589" s="5">
        <f>_xlfn.RANK.EQ(J589,$J$2:$J$1001,0)</f>
        <v>412</v>
      </c>
    </row>
    <row r="590" spans="1:12" x14ac:dyDescent="0.3">
      <c r="A590" s="5" t="s">
        <v>17</v>
      </c>
      <c r="B590" s="5" t="s">
        <v>21</v>
      </c>
      <c r="C590" s="5" t="s">
        <v>23</v>
      </c>
      <c r="D590" s="5" t="s">
        <v>11</v>
      </c>
      <c r="E590" s="5" t="s">
        <v>15</v>
      </c>
      <c r="F590" s="5">
        <v>77</v>
      </c>
      <c r="G590" s="5">
        <v>68</v>
      </c>
      <c r="H590" s="6">
        <v>69</v>
      </c>
      <c r="I590" s="5">
        <f>SUM(F590:H590)</f>
        <v>214</v>
      </c>
      <c r="J590" s="7">
        <f>AVERAGE(F590:H590)</f>
        <v>71.333333333333329</v>
      </c>
      <c r="K590" s="8">
        <f>I590/300</f>
        <v>0.71333333333333337</v>
      </c>
      <c r="L590" s="5">
        <f>_xlfn.RANK.EQ(J590,$J$2:$J$1001,0)</f>
        <v>412</v>
      </c>
    </row>
    <row r="591" spans="1:12" x14ac:dyDescent="0.3">
      <c r="A591" s="5" t="s">
        <v>8</v>
      </c>
      <c r="B591" s="5" t="s">
        <v>13</v>
      </c>
      <c r="C591" s="5" t="s">
        <v>23</v>
      </c>
      <c r="D591" s="5" t="s">
        <v>11</v>
      </c>
      <c r="E591" s="5" t="s">
        <v>12</v>
      </c>
      <c r="F591" s="5">
        <v>69</v>
      </c>
      <c r="G591" s="5">
        <v>73</v>
      </c>
      <c r="H591" s="6">
        <v>73</v>
      </c>
      <c r="I591" s="5">
        <f>SUM(F591:H591)</f>
        <v>215</v>
      </c>
      <c r="J591" s="7">
        <f>AVERAGE(F591:H591)</f>
        <v>71.666666666666671</v>
      </c>
      <c r="K591" s="8">
        <f>I591/300</f>
        <v>0.71666666666666667</v>
      </c>
      <c r="L591" s="5">
        <f>_xlfn.RANK.EQ(J591,$J$2:$J$1001,0)</f>
        <v>404</v>
      </c>
    </row>
    <row r="592" spans="1:12" x14ac:dyDescent="0.3">
      <c r="A592" s="5" t="s">
        <v>17</v>
      </c>
      <c r="B592" s="5" t="s">
        <v>13</v>
      </c>
      <c r="C592" s="5" t="s">
        <v>19</v>
      </c>
      <c r="D592" s="5" t="s">
        <v>11</v>
      </c>
      <c r="E592" s="5" t="s">
        <v>12</v>
      </c>
      <c r="F592" s="5">
        <v>69</v>
      </c>
      <c r="G592" s="5">
        <v>77</v>
      </c>
      <c r="H592" s="6">
        <v>69</v>
      </c>
      <c r="I592" s="5">
        <f>SUM(F592:H592)</f>
        <v>215</v>
      </c>
      <c r="J592" s="7">
        <f>AVERAGE(F592:H592)</f>
        <v>71.666666666666671</v>
      </c>
      <c r="K592" s="8">
        <f>I592/300</f>
        <v>0.71666666666666667</v>
      </c>
      <c r="L592" s="5">
        <f>_xlfn.RANK.EQ(J592,$J$2:$J$1001,0)</f>
        <v>404</v>
      </c>
    </row>
    <row r="593" spans="1:12" x14ac:dyDescent="0.3">
      <c r="A593" s="5" t="s">
        <v>8</v>
      </c>
      <c r="B593" s="5" t="s">
        <v>13</v>
      </c>
      <c r="C593" s="5" t="s">
        <v>14</v>
      </c>
      <c r="D593" s="5" t="s">
        <v>11</v>
      </c>
      <c r="E593" s="5" t="s">
        <v>12</v>
      </c>
      <c r="F593" s="5">
        <v>72</v>
      </c>
      <c r="G593" s="5">
        <v>72</v>
      </c>
      <c r="H593" s="6">
        <v>71</v>
      </c>
      <c r="I593" s="5">
        <f>SUM(F593:H593)</f>
        <v>215</v>
      </c>
      <c r="J593" s="7">
        <f>AVERAGE(F593:H593)</f>
        <v>71.666666666666671</v>
      </c>
      <c r="K593" s="8">
        <f>I593/300</f>
        <v>0.71666666666666667</v>
      </c>
      <c r="L593" s="5">
        <f>_xlfn.RANK.EQ(J593,$J$2:$J$1001,0)</f>
        <v>404</v>
      </c>
    </row>
    <row r="594" spans="1:12" x14ac:dyDescent="0.3">
      <c r="A594" s="5" t="s">
        <v>17</v>
      </c>
      <c r="B594" s="5" t="s">
        <v>21</v>
      </c>
      <c r="C594" s="5" t="s">
        <v>23</v>
      </c>
      <c r="D594" s="5" t="s">
        <v>11</v>
      </c>
      <c r="E594" s="5" t="s">
        <v>15</v>
      </c>
      <c r="F594" s="5">
        <v>76</v>
      </c>
      <c r="G594" s="5">
        <v>70</v>
      </c>
      <c r="H594" s="6">
        <v>69</v>
      </c>
      <c r="I594" s="5">
        <f>SUM(F594:H594)</f>
        <v>215</v>
      </c>
      <c r="J594" s="7">
        <f>AVERAGE(F594:H594)</f>
        <v>71.666666666666671</v>
      </c>
      <c r="K594" s="8">
        <f>I594/300</f>
        <v>0.71666666666666667</v>
      </c>
      <c r="L594" s="5">
        <f>_xlfn.RANK.EQ(J594,$J$2:$J$1001,0)</f>
        <v>404</v>
      </c>
    </row>
    <row r="595" spans="1:12" x14ac:dyDescent="0.3">
      <c r="A595" s="5" t="s">
        <v>17</v>
      </c>
      <c r="B595" s="5" t="s">
        <v>21</v>
      </c>
      <c r="C595" s="5" t="s">
        <v>22</v>
      </c>
      <c r="D595" s="5" t="s">
        <v>20</v>
      </c>
      <c r="E595" s="5" t="s">
        <v>12</v>
      </c>
      <c r="F595" s="5">
        <v>75</v>
      </c>
      <c r="G595" s="5">
        <v>74</v>
      </c>
      <c r="H595" s="6">
        <v>66</v>
      </c>
      <c r="I595" s="5">
        <f>SUM(F595:H595)</f>
        <v>215</v>
      </c>
      <c r="J595" s="7">
        <f>AVERAGE(F595:H595)</f>
        <v>71.666666666666671</v>
      </c>
      <c r="K595" s="8">
        <f>I595/300</f>
        <v>0.71666666666666667</v>
      </c>
      <c r="L595" s="5">
        <f>_xlfn.RANK.EQ(J595,$J$2:$J$1001,0)</f>
        <v>404</v>
      </c>
    </row>
    <row r="596" spans="1:12" x14ac:dyDescent="0.3">
      <c r="A596" s="5" t="s">
        <v>8</v>
      </c>
      <c r="B596" s="5" t="s">
        <v>21</v>
      </c>
      <c r="C596" s="5" t="s">
        <v>16</v>
      </c>
      <c r="D596" s="5" t="s">
        <v>11</v>
      </c>
      <c r="E596" s="5" t="s">
        <v>15</v>
      </c>
      <c r="F596" s="5">
        <v>70</v>
      </c>
      <c r="G596" s="5">
        <v>71</v>
      </c>
      <c r="H596" s="6">
        <v>74</v>
      </c>
      <c r="I596" s="5">
        <f>SUM(F596:H596)</f>
        <v>215</v>
      </c>
      <c r="J596" s="7">
        <f>AVERAGE(F596:H596)</f>
        <v>71.666666666666671</v>
      </c>
      <c r="K596" s="8">
        <f>I596/300</f>
        <v>0.71666666666666667</v>
      </c>
      <c r="L596" s="5">
        <f>_xlfn.RANK.EQ(J596,$J$2:$J$1001,0)</f>
        <v>404</v>
      </c>
    </row>
    <row r="597" spans="1:12" x14ac:dyDescent="0.3">
      <c r="A597" s="5" t="s">
        <v>17</v>
      </c>
      <c r="B597" s="5" t="s">
        <v>13</v>
      </c>
      <c r="C597" s="5" t="s">
        <v>22</v>
      </c>
      <c r="D597" s="5" t="s">
        <v>11</v>
      </c>
      <c r="E597" s="5" t="s">
        <v>12</v>
      </c>
      <c r="F597" s="5">
        <v>70</v>
      </c>
      <c r="G597" s="5">
        <v>74</v>
      </c>
      <c r="H597" s="6">
        <v>71</v>
      </c>
      <c r="I597" s="5">
        <f>SUM(F597:H597)</f>
        <v>215</v>
      </c>
      <c r="J597" s="7">
        <f>AVERAGE(F597:H597)</f>
        <v>71.666666666666671</v>
      </c>
      <c r="K597" s="8">
        <f>I597/300</f>
        <v>0.71666666666666667</v>
      </c>
      <c r="L597" s="5">
        <f>_xlfn.RANK.EQ(J597,$J$2:$J$1001,0)</f>
        <v>404</v>
      </c>
    </row>
    <row r="598" spans="1:12" x14ac:dyDescent="0.3">
      <c r="A598" s="5" t="s">
        <v>17</v>
      </c>
      <c r="B598" s="5" t="s">
        <v>21</v>
      </c>
      <c r="C598" s="5" t="s">
        <v>22</v>
      </c>
      <c r="D598" s="5" t="s">
        <v>11</v>
      </c>
      <c r="E598" s="5" t="s">
        <v>12</v>
      </c>
      <c r="F598" s="5">
        <v>69</v>
      </c>
      <c r="G598" s="5">
        <v>75</v>
      </c>
      <c r="H598" s="6">
        <v>71</v>
      </c>
      <c r="I598" s="5">
        <f>SUM(F598:H598)</f>
        <v>215</v>
      </c>
      <c r="J598" s="7">
        <f>AVERAGE(F598:H598)</f>
        <v>71.666666666666671</v>
      </c>
      <c r="K598" s="8">
        <f>I598/300</f>
        <v>0.71666666666666667</v>
      </c>
      <c r="L598" s="5">
        <f>_xlfn.RANK.EQ(J598,$J$2:$J$1001,0)</f>
        <v>404</v>
      </c>
    </row>
    <row r="599" spans="1:12" x14ac:dyDescent="0.3">
      <c r="A599" s="5" t="s">
        <v>8</v>
      </c>
      <c r="B599" s="5" t="s">
        <v>21</v>
      </c>
      <c r="C599" s="5" t="s">
        <v>19</v>
      </c>
      <c r="D599" s="5" t="s">
        <v>11</v>
      </c>
      <c r="E599" s="5" t="s">
        <v>12</v>
      </c>
      <c r="F599" s="5">
        <v>71</v>
      </c>
      <c r="G599" s="5">
        <v>71</v>
      </c>
      <c r="H599" s="6">
        <v>74</v>
      </c>
      <c r="I599" s="5">
        <f>SUM(F599:H599)</f>
        <v>216</v>
      </c>
      <c r="J599" s="7">
        <f>AVERAGE(F599:H599)</f>
        <v>72</v>
      </c>
      <c r="K599" s="8">
        <f>I599/300</f>
        <v>0.72</v>
      </c>
      <c r="L599" s="5">
        <f>_xlfn.RANK.EQ(J599,$J$2:$J$1001,0)</f>
        <v>395</v>
      </c>
    </row>
    <row r="600" spans="1:12" x14ac:dyDescent="0.3">
      <c r="A600" s="5" t="s">
        <v>17</v>
      </c>
      <c r="B600" s="5" t="s">
        <v>21</v>
      </c>
      <c r="C600" s="5" t="s">
        <v>10</v>
      </c>
      <c r="D600" s="5" t="s">
        <v>11</v>
      </c>
      <c r="E600" s="5" t="s">
        <v>15</v>
      </c>
      <c r="F600" s="5">
        <v>68</v>
      </c>
      <c r="G600" s="5">
        <v>74</v>
      </c>
      <c r="H600" s="6">
        <v>74</v>
      </c>
      <c r="I600" s="5">
        <f>SUM(F600:H600)</f>
        <v>216</v>
      </c>
      <c r="J600" s="7">
        <f>AVERAGE(F600:H600)</f>
        <v>72</v>
      </c>
      <c r="K600" s="8">
        <f>I600/300</f>
        <v>0.72</v>
      </c>
      <c r="L600" s="5">
        <f>_xlfn.RANK.EQ(J600,$J$2:$J$1001,0)</f>
        <v>395</v>
      </c>
    </row>
    <row r="601" spans="1:12" x14ac:dyDescent="0.3">
      <c r="A601" s="5" t="s">
        <v>17</v>
      </c>
      <c r="B601" s="5" t="s">
        <v>21</v>
      </c>
      <c r="C601" s="5" t="s">
        <v>14</v>
      </c>
      <c r="D601" s="5" t="s">
        <v>11</v>
      </c>
      <c r="E601" s="5" t="s">
        <v>15</v>
      </c>
      <c r="F601" s="5">
        <v>65</v>
      </c>
      <c r="G601" s="5">
        <v>77</v>
      </c>
      <c r="H601" s="6">
        <v>74</v>
      </c>
      <c r="I601" s="5">
        <f>SUM(F601:H601)</f>
        <v>216</v>
      </c>
      <c r="J601" s="7">
        <f>AVERAGE(F601:H601)</f>
        <v>72</v>
      </c>
      <c r="K601" s="8">
        <f>I601/300</f>
        <v>0.72</v>
      </c>
      <c r="L601" s="5">
        <f>_xlfn.RANK.EQ(J601,$J$2:$J$1001,0)</f>
        <v>395</v>
      </c>
    </row>
    <row r="602" spans="1:12" x14ac:dyDescent="0.3">
      <c r="A602" s="5" t="s">
        <v>8</v>
      </c>
      <c r="B602" s="5" t="s">
        <v>13</v>
      </c>
      <c r="C602" s="5" t="s">
        <v>23</v>
      </c>
      <c r="D602" s="5" t="s">
        <v>11</v>
      </c>
      <c r="E602" s="5" t="s">
        <v>15</v>
      </c>
      <c r="F602" s="5">
        <v>65</v>
      </c>
      <c r="G602" s="5">
        <v>74</v>
      </c>
      <c r="H602" s="6">
        <v>77</v>
      </c>
      <c r="I602" s="5">
        <f>SUM(F602:H602)</f>
        <v>216</v>
      </c>
      <c r="J602" s="7">
        <f>AVERAGE(F602:H602)</f>
        <v>72</v>
      </c>
      <c r="K602" s="8">
        <f>I602/300</f>
        <v>0.72</v>
      </c>
      <c r="L602" s="5">
        <f>_xlfn.RANK.EQ(J602,$J$2:$J$1001,0)</f>
        <v>395</v>
      </c>
    </row>
    <row r="603" spans="1:12" x14ac:dyDescent="0.3">
      <c r="A603" s="5" t="s">
        <v>8</v>
      </c>
      <c r="B603" s="5" t="s">
        <v>13</v>
      </c>
      <c r="C603" s="5" t="s">
        <v>19</v>
      </c>
      <c r="D603" s="5" t="s">
        <v>20</v>
      </c>
      <c r="E603" s="5" t="s">
        <v>12</v>
      </c>
      <c r="F603" s="5">
        <v>65</v>
      </c>
      <c r="G603" s="5">
        <v>77</v>
      </c>
      <c r="H603" s="6">
        <v>74</v>
      </c>
      <c r="I603" s="5">
        <f>SUM(F603:H603)</f>
        <v>216</v>
      </c>
      <c r="J603" s="7">
        <f>AVERAGE(F603:H603)</f>
        <v>72</v>
      </c>
      <c r="K603" s="8">
        <f>I603/300</f>
        <v>0.72</v>
      </c>
      <c r="L603" s="5">
        <f>_xlfn.RANK.EQ(J603,$J$2:$J$1001,0)</f>
        <v>395</v>
      </c>
    </row>
    <row r="604" spans="1:12" x14ac:dyDescent="0.3">
      <c r="A604" s="5" t="s">
        <v>17</v>
      </c>
      <c r="B604" s="5" t="s">
        <v>9</v>
      </c>
      <c r="C604" s="5" t="s">
        <v>14</v>
      </c>
      <c r="D604" s="5" t="s">
        <v>11</v>
      </c>
      <c r="E604" s="5" t="s">
        <v>15</v>
      </c>
      <c r="F604" s="5">
        <v>71</v>
      </c>
      <c r="G604" s="5">
        <v>75</v>
      </c>
      <c r="H604" s="6">
        <v>70</v>
      </c>
      <c r="I604" s="5">
        <f>SUM(F604:H604)</f>
        <v>216</v>
      </c>
      <c r="J604" s="7">
        <f>AVERAGE(F604:H604)</f>
        <v>72</v>
      </c>
      <c r="K604" s="8">
        <f>I604/300</f>
        <v>0.72</v>
      </c>
      <c r="L604" s="5">
        <f>_xlfn.RANK.EQ(J604,$J$2:$J$1001,0)</f>
        <v>395</v>
      </c>
    </row>
    <row r="605" spans="1:12" x14ac:dyDescent="0.3">
      <c r="A605" s="5" t="s">
        <v>8</v>
      </c>
      <c r="B605" s="5" t="s">
        <v>13</v>
      </c>
      <c r="C605" s="5" t="s">
        <v>19</v>
      </c>
      <c r="D605" s="5" t="s">
        <v>11</v>
      </c>
      <c r="E605" s="5" t="s">
        <v>12</v>
      </c>
      <c r="F605" s="5">
        <v>65</v>
      </c>
      <c r="G605" s="5">
        <v>77</v>
      </c>
      <c r="H605" s="6">
        <v>74</v>
      </c>
      <c r="I605" s="5">
        <f>SUM(F605:H605)</f>
        <v>216</v>
      </c>
      <c r="J605" s="7">
        <f>AVERAGE(F605:H605)</f>
        <v>72</v>
      </c>
      <c r="K605" s="8">
        <f>I605/300</f>
        <v>0.72</v>
      </c>
      <c r="L605" s="5">
        <f>_xlfn.RANK.EQ(J605,$J$2:$J$1001,0)</f>
        <v>395</v>
      </c>
    </row>
    <row r="606" spans="1:12" x14ac:dyDescent="0.3">
      <c r="A606" s="5" t="s">
        <v>8</v>
      </c>
      <c r="B606" s="5" t="s">
        <v>13</v>
      </c>
      <c r="C606" s="5" t="s">
        <v>19</v>
      </c>
      <c r="D606" s="5" t="s">
        <v>11</v>
      </c>
      <c r="E606" s="5" t="s">
        <v>12</v>
      </c>
      <c r="F606" s="5">
        <v>66</v>
      </c>
      <c r="G606" s="5">
        <v>77</v>
      </c>
      <c r="H606" s="6">
        <v>73</v>
      </c>
      <c r="I606" s="5">
        <f>SUM(F606:H606)</f>
        <v>216</v>
      </c>
      <c r="J606" s="7">
        <f>AVERAGE(F606:H606)</f>
        <v>72</v>
      </c>
      <c r="K606" s="8">
        <f>I606/300</f>
        <v>0.72</v>
      </c>
      <c r="L606" s="5">
        <f>_xlfn.RANK.EQ(J606,$J$2:$J$1001,0)</f>
        <v>395</v>
      </c>
    </row>
    <row r="607" spans="1:12" x14ac:dyDescent="0.3">
      <c r="A607" s="5" t="s">
        <v>8</v>
      </c>
      <c r="B607" s="5" t="s">
        <v>13</v>
      </c>
      <c r="C607" s="5" t="s">
        <v>23</v>
      </c>
      <c r="D607" s="5" t="s">
        <v>20</v>
      </c>
      <c r="E607" s="5" t="s">
        <v>15</v>
      </c>
      <c r="F607" s="5">
        <v>65</v>
      </c>
      <c r="G607" s="5">
        <v>76</v>
      </c>
      <c r="H607" s="6">
        <v>75</v>
      </c>
      <c r="I607" s="5">
        <f>SUM(F607:H607)</f>
        <v>216</v>
      </c>
      <c r="J607" s="7">
        <f>AVERAGE(F607:H607)</f>
        <v>72</v>
      </c>
      <c r="K607" s="8">
        <f>I607/300</f>
        <v>0.72</v>
      </c>
      <c r="L607" s="5">
        <f>_xlfn.RANK.EQ(J607,$J$2:$J$1001,0)</f>
        <v>395</v>
      </c>
    </row>
    <row r="608" spans="1:12" x14ac:dyDescent="0.3">
      <c r="A608" s="5" t="s">
        <v>8</v>
      </c>
      <c r="B608" s="5" t="s">
        <v>21</v>
      </c>
      <c r="C608" s="5" t="s">
        <v>14</v>
      </c>
      <c r="D608" s="5" t="s">
        <v>11</v>
      </c>
      <c r="E608" s="5" t="s">
        <v>12</v>
      </c>
      <c r="F608" s="5">
        <v>69</v>
      </c>
      <c r="G608" s="5">
        <v>74</v>
      </c>
      <c r="H608" s="6">
        <v>74</v>
      </c>
      <c r="I608" s="5">
        <f>SUM(F608:H608)</f>
        <v>217</v>
      </c>
      <c r="J608" s="7">
        <f>AVERAGE(F608:H608)</f>
        <v>72.333333333333329</v>
      </c>
      <c r="K608" s="8">
        <f>I608/300</f>
        <v>0.72333333333333338</v>
      </c>
      <c r="L608" s="5">
        <f>_xlfn.RANK.EQ(J608,$J$2:$J$1001,0)</f>
        <v>389</v>
      </c>
    </row>
    <row r="609" spans="1:12" x14ac:dyDescent="0.3">
      <c r="A609" s="5" t="s">
        <v>17</v>
      </c>
      <c r="B609" s="5" t="s">
        <v>21</v>
      </c>
      <c r="C609" s="5" t="s">
        <v>22</v>
      </c>
      <c r="D609" s="5" t="s">
        <v>11</v>
      </c>
      <c r="E609" s="5" t="s">
        <v>12</v>
      </c>
      <c r="F609" s="5">
        <v>76</v>
      </c>
      <c r="G609" s="5">
        <v>73</v>
      </c>
      <c r="H609" s="6">
        <v>68</v>
      </c>
      <c r="I609" s="5">
        <f>SUM(F609:H609)</f>
        <v>217</v>
      </c>
      <c r="J609" s="7">
        <f>AVERAGE(F609:H609)</f>
        <v>72.333333333333329</v>
      </c>
      <c r="K609" s="8">
        <f>I609/300</f>
        <v>0.72333333333333338</v>
      </c>
      <c r="L609" s="5">
        <f>_xlfn.RANK.EQ(J609,$J$2:$J$1001,0)</f>
        <v>389</v>
      </c>
    </row>
    <row r="610" spans="1:12" x14ac:dyDescent="0.3">
      <c r="A610" s="5" t="s">
        <v>8</v>
      </c>
      <c r="B610" s="5" t="s">
        <v>24</v>
      </c>
      <c r="C610" s="5" t="s">
        <v>14</v>
      </c>
      <c r="D610" s="5" t="s">
        <v>20</v>
      </c>
      <c r="E610" s="5" t="s">
        <v>12</v>
      </c>
      <c r="F610" s="5">
        <v>71</v>
      </c>
      <c r="G610" s="5">
        <v>76</v>
      </c>
      <c r="H610" s="6">
        <v>70</v>
      </c>
      <c r="I610" s="5">
        <f>SUM(F610:H610)</f>
        <v>217</v>
      </c>
      <c r="J610" s="7">
        <f>AVERAGE(F610:H610)</f>
        <v>72.333333333333329</v>
      </c>
      <c r="K610" s="8">
        <f>I610/300</f>
        <v>0.72333333333333338</v>
      </c>
      <c r="L610" s="5">
        <f>_xlfn.RANK.EQ(J610,$J$2:$J$1001,0)</f>
        <v>389</v>
      </c>
    </row>
    <row r="611" spans="1:12" x14ac:dyDescent="0.3">
      <c r="A611" s="5" t="s">
        <v>8</v>
      </c>
      <c r="B611" s="5" t="s">
        <v>24</v>
      </c>
      <c r="C611" s="5" t="s">
        <v>14</v>
      </c>
      <c r="D611" s="5" t="s">
        <v>11</v>
      </c>
      <c r="E611" s="5" t="s">
        <v>12</v>
      </c>
      <c r="F611" s="5">
        <v>71</v>
      </c>
      <c r="G611" s="5">
        <v>70</v>
      </c>
      <c r="H611" s="6">
        <v>76</v>
      </c>
      <c r="I611" s="5">
        <f>SUM(F611:H611)</f>
        <v>217</v>
      </c>
      <c r="J611" s="7">
        <f>AVERAGE(F611:H611)</f>
        <v>72.333333333333329</v>
      </c>
      <c r="K611" s="8">
        <f>I611/300</f>
        <v>0.72333333333333338</v>
      </c>
      <c r="L611" s="5">
        <f>_xlfn.RANK.EQ(J611,$J$2:$J$1001,0)</f>
        <v>389</v>
      </c>
    </row>
    <row r="612" spans="1:12" x14ac:dyDescent="0.3">
      <c r="A612" s="5" t="s">
        <v>8</v>
      </c>
      <c r="B612" s="5" t="s">
        <v>13</v>
      </c>
      <c r="C612" s="5" t="s">
        <v>19</v>
      </c>
      <c r="D612" s="5" t="s">
        <v>11</v>
      </c>
      <c r="E612" s="5" t="s">
        <v>12</v>
      </c>
      <c r="F612" s="5">
        <v>65</v>
      </c>
      <c r="G612" s="5">
        <v>76</v>
      </c>
      <c r="H612" s="6">
        <v>76</v>
      </c>
      <c r="I612" s="5">
        <f>SUM(F612:H612)</f>
        <v>217</v>
      </c>
      <c r="J612" s="7">
        <f>AVERAGE(F612:H612)</f>
        <v>72.333333333333329</v>
      </c>
      <c r="K612" s="8">
        <f>I612/300</f>
        <v>0.72333333333333338</v>
      </c>
      <c r="L612" s="5">
        <f>_xlfn.RANK.EQ(J612,$J$2:$J$1001,0)</f>
        <v>389</v>
      </c>
    </row>
    <row r="613" spans="1:12" x14ac:dyDescent="0.3">
      <c r="A613" s="5" t="s">
        <v>8</v>
      </c>
      <c r="B613" s="5" t="s">
        <v>24</v>
      </c>
      <c r="C613" s="5" t="s">
        <v>19</v>
      </c>
      <c r="D613" s="5" t="s">
        <v>11</v>
      </c>
      <c r="E613" s="5" t="s">
        <v>15</v>
      </c>
      <c r="F613" s="5">
        <v>65</v>
      </c>
      <c r="G613" s="5">
        <v>75</v>
      </c>
      <c r="H613" s="6">
        <v>77</v>
      </c>
      <c r="I613" s="5">
        <f>SUM(F613:H613)</f>
        <v>217</v>
      </c>
      <c r="J613" s="7">
        <f>AVERAGE(F613:H613)</f>
        <v>72.333333333333329</v>
      </c>
      <c r="K613" s="8">
        <f>I613/300</f>
        <v>0.72333333333333338</v>
      </c>
      <c r="L613" s="5">
        <f>_xlfn.RANK.EQ(J613,$J$2:$J$1001,0)</f>
        <v>389</v>
      </c>
    </row>
    <row r="614" spans="1:12" x14ac:dyDescent="0.3">
      <c r="A614" s="5" t="s">
        <v>8</v>
      </c>
      <c r="B614" s="5" t="s">
        <v>9</v>
      </c>
      <c r="C614" s="5" t="s">
        <v>10</v>
      </c>
      <c r="D614" s="5" t="s">
        <v>11</v>
      </c>
      <c r="E614" s="5" t="s">
        <v>12</v>
      </c>
      <c r="F614" s="5">
        <v>72</v>
      </c>
      <c r="G614" s="5">
        <v>72</v>
      </c>
      <c r="H614" s="6">
        <v>74</v>
      </c>
      <c r="I614" s="5">
        <f>SUM(F614:H614)</f>
        <v>218</v>
      </c>
      <c r="J614" s="7">
        <f>AVERAGE(F614:H614)</f>
        <v>72.666666666666671</v>
      </c>
      <c r="K614" s="8">
        <f>I614/300</f>
        <v>0.72666666666666668</v>
      </c>
      <c r="L614" s="5">
        <f>_xlfn.RANK.EQ(J614,$J$2:$J$1001,0)</f>
        <v>379</v>
      </c>
    </row>
    <row r="615" spans="1:12" x14ac:dyDescent="0.3">
      <c r="A615" s="5" t="s">
        <v>8</v>
      </c>
      <c r="B615" s="5" t="s">
        <v>24</v>
      </c>
      <c r="C615" s="5" t="s">
        <v>22</v>
      </c>
      <c r="D615" s="5" t="s">
        <v>20</v>
      </c>
      <c r="E615" s="5" t="s">
        <v>15</v>
      </c>
      <c r="F615" s="5">
        <v>66</v>
      </c>
      <c r="G615" s="5">
        <v>74</v>
      </c>
      <c r="H615" s="6">
        <v>78</v>
      </c>
      <c r="I615" s="5">
        <f>SUM(F615:H615)</f>
        <v>218</v>
      </c>
      <c r="J615" s="7">
        <f>AVERAGE(F615:H615)</f>
        <v>72.666666666666671</v>
      </c>
      <c r="K615" s="8">
        <f>I615/300</f>
        <v>0.72666666666666668</v>
      </c>
      <c r="L615" s="5">
        <f>_xlfn.RANK.EQ(J615,$J$2:$J$1001,0)</f>
        <v>379</v>
      </c>
    </row>
    <row r="616" spans="1:12" x14ac:dyDescent="0.3">
      <c r="A616" s="5" t="s">
        <v>17</v>
      </c>
      <c r="B616" s="5" t="s">
        <v>21</v>
      </c>
      <c r="C616" s="5" t="s">
        <v>23</v>
      </c>
      <c r="D616" s="5" t="s">
        <v>11</v>
      </c>
      <c r="E616" s="5" t="s">
        <v>12</v>
      </c>
      <c r="F616" s="5">
        <v>75</v>
      </c>
      <c r="G616" s="5">
        <v>74</v>
      </c>
      <c r="H616" s="6">
        <v>69</v>
      </c>
      <c r="I616" s="5">
        <f>SUM(F616:H616)</f>
        <v>218</v>
      </c>
      <c r="J616" s="7">
        <f>AVERAGE(F616:H616)</f>
        <v>72.666666666666671</v>
      </c>
      <c r="K616" s="8">
        <f>I616/300</f>
        <v>0.72666666666666668</v>
      </c>
      <c r="L616" s="5">
        <f>_xlfn.RANK.EQ(J616,$J$2:$J$1001,0)</f>
        <v>379</v>
      </c>
    </row>
    <row r="617" spans="1:12" x14ac:dyDescent="0.3">
      <c r="A617" s="5" t="s">
        <v>8</v>
      </c>
      <c r="B617" s="5" t="s">
        <v>21</v>
      </c>
      <c r="C617" s="5" t="s">
        <v>22</v>
      </c>
      <c r="D617" s="5" t="s">
        <v>11</v>
      </c>
      <c r="E617" s="5" t="s">
        <v>12</v>
      </c>
      <c r="F617" s="5">
        <v>69</v>
      </c>
      <c r="G617" s="5">
        <v>72</v>
      </c>
      <c r="H617" s="6">
        <v>77</v>
      </c>
      <c r="I617" s="5">
        <f>SUM(F617:H617)</f>
        <v>218</v>
      </c>
      <c r="J617" s="7">
        <f>AVERAGE(F617:H617)</f>
        <v>72.666666666666671</v>
      </c>
      <c r="K617" s="8">
        <f>I617/300</f>
        <v>0.72666666666666668</v>
      </c>
      <c r="L617" s="5">
        <f>_xlfn.RANK.EQ(J617,$J$2:$J$1001,0)</f>
        <v>379</v>
      </c>
    </row>
    <row r="618" spans="1:12" x14ac:dyDescent="0.3">
      <c r="A618" s="5" t="s">
        <v>8</v>
      </c>
      <c r="B618" s="5" t="s">
        <v>24</v>
      </c>
      <c r="C618" s="5" t="s">
        <v>14</v>
      </c>
      <c r="D618" s="5" t="s">
        <v>11</v>
      </c>
      <c r="E618" s="5" t="s">
        <v>12</v>
      </c>
      <c r="F618" s="5">
        <v>67</v>
      </c>
      <c r="G618" s="5">
        <v>76</v>
      </c>
      <c r="H618" s="6">
        <v>75</v>
      </c>
      <c r="I618" s="5">
        <f>SUM(F618:H618)</f>
        <v>218</v>
      </c>
      <c r="J618" s="7">
        <f>AVERAGE(F618:H618)</f>
        <v>72.666666666666671</v>
      </c>
      <c r="K618" s="8">
        <f>I618/300</f>
        <v>0.72666666666666668</v>
      </c>
      <c r="L618" s="5">
        <f>_xlfn.RANK.EQ(J618,$J$2:$J$1001,0)</f>
        <v>379</v>
      </c>
    </row>
    <row r="619" spans="1:12" x14ac:dyDescent="0.3">
      <c r="A619" s="5" t="s">
        <v>17</v>
      </c>
      <c r="B619" s="5" t="s">
        <v>21</v>
      </c>
      <c r="C619" s="5" t="s">
        <v>16</v>
      </c>
      <c r="D619" s="5" t="s">
        <v>11</v>
      </c>
      <c r="E619" s="5" t="s">
        <v>12</v>
      </c>
      <c r="F619" s="5">
        <v>73</v>
      </c>
      <c r="G619" s="5">
        <v>70</v>
      </c>
      <c r="H619" s="6">
        <v>75</v>
      </c>
      <c r="I619" s="5">
        <f>SUM(F619:H619)</f>
        <v>218</v>
      </c>
      <c r="J619" s="7">
        <f>AVERAGE(F619:H619)</f>
        <v>72.666666666666671</v>
      </c>
      <c r="K619" s="8">
        <f>I619/300</f>
        <v>0.72666666666666668</v>
      </c>
      <c r="L619" s="5">
        <f>_xlfn.RANK.EQ(J619,$J$2:$J$1001,0)</f>
        <v>379</v>
      </c>
    </row>
    <row r="620" spans="1:12" x14ac:dyDescent="0.3">
      <c r="A620" s="5" t="s">
        <v>8</v>
      </c>
      <c r="B620" s="5" t="s">
        <v>13</v>
      </c>
      <c r="C620" s="5" t="s">
        <v>23</v>
      </c>
      <c r="D620" s="5" t="s">
        <v>11</v>
      </c>
      <c r="E620" s="5" t="s">
        <v>15</v>
      </c>
      <c r="F620" s="5">
        <v>67</v>
      </c>
      <c r="G620" s="5">
        <v>74</v>
      </c>
      <c r="H620" s="6">
        <v>77</v>
      </c>
      <c r="I620" s="5">
        <f>SUM(F620:H620)</f>
        <v>218</v>
      </c>
      <c r="J620" s="7">
        <f>AVERAGE(F620:H620)</f>
        <v>72.666666666666671</v>
      </c>
      <c r="K620" s="8">
        <f>I620/300</f>
        <v>0.72666666666666668</v>
      </c>
      <c r="L620" s="5">
        <f>_xlfn.RANK.EQ(J620,$J$2:$J$1001,0)</f>
        <v>379</v>
      </c>
    </row>
    <row r="621" spans="1:12" x14ac:dyDescent="0.3">
      <c r="A621" s="5" t="s">
        <v>8</v>
      </c>
      <c r="B621" s="5" t="s">
        <v>9</v>
      </c>
      <c r="C621" s="5" t="s">
        <v>22</v>
      </c>
      <c r="D621" s="5" t="s">
        <v>11</v>
      </c>
      <c r="E621" s="5" t="s">
        <v>12</v>
      </c>
      <c r="F621" s="5">
        <v>74</v>
      </c>
      <c r="G621" s="5">
        <v>72</v>
      </c>
      <c r="H621" s="6">
        <v>72</v>
      </c>
      <c r="I621" s="5">
        <f>SUM(F621:H621)</f>
        <v>218</v>
      </c>
      <c r="J621" s="7">
        <f>AVERAGE(F621:H621)</f>
        <v>72.666666666666671</v>
      </c>
      <c r="K621" s="8">
        <f>I621/300</f>
        <v>0.72666666666666668</v>
      </c>
      <c r="L621" s="5">
        <f>_xlfn.RANK.EQ(J621,$J$2:$J$1001,0)</f>
        <v>379</v>
      </c>
    </row>
    <row r="622" spans="1:12" x14ac:dyDescent="0.3">
      <c r="A622" s="5" t="s">
        <v>8</v>
      </c>
      <c r="B622" s="5" t="s">
        <v>13</v>
      </c>
      <c r="C622" s="5" t="s">
        <v>14</v>
      </c>
      <c r="D622" s="5" t="s">
        <v>11</v>
      </c>
      <c r="E622" s="5" t="s">
        <v>15</v>
      </c>
      <c r="F622" s="5">
        <v>70</v>
      </c>
      <c r="G622" s="5">
        <v>72</v>
      </c>
      <c r="H622" s="6">
        <v>76</v>
      </c>
      <c r="I622" s="5">
        <f>SUM(F622:H622)</f>
        <v>218</v>
      </c>
      <c r="J622" s="7">
        <f>AVERAGE(F622:H622)</f>
        <v>72.666666666666671</v>
      </c>
      <c r="K622" s="8">
        <f>I622/300</f>
        <v>0.72666666666666668</v>
      </c>
      <c r="L622" s="5">
        <f>_xlfn.RANK.EQ(J622,$J$2:$J$1001,0)</f>
        <v>379</v>
      </c>
    </row>
    <row r="623" spans="1:12" x14ac:dyDescent="0.3">
      <c r="A623" s="5" t="s">
        <v>8</v>
      </c>
      <c r="B623" s="5" t="s">
        <v>13</v>
      </c>
      <c r="C623" s="5" t="s">
        <v>19</v>
      </c>
      <c r="D623" s="5" t="s">
        <v>11</v>
      </c>
      <c r="E623" s="5" t="s">
        <v>15</v>
      </c>
      <c r="F623" s="5">
        <v>62</v>
      </c>
      <c r="G623" s="5">
        <v>76</v>
      </c>
      <c r="H623" s="6">
        <v>80</v>
      </c>
      <c r="I623" s="5">
        <f>SUM(F623:H623)</f>
        <v>218</v>
      </c>
      <c r="J623" s="7">
        <f>AVERAGE(F623:H623)</f>
        <v>72.666666666666671</v>
      </c>
      <c r="K623" s="8">
        <f>I623/300</f>
        <v>0.72666666666666668</v>
      </c>
      <c r="L623" s="5">
        <f>_xlfn.RANK.EQ(J623,$J$2:$J$1001,0)</f>
        <v>379</v>
      </c>
    </row>
    <row r="624" spans="1:12" x14ac:dyDescent="0.3">
      <c r="A624" s="5" t="s">
        <v>8</v>
      </c>
      <c r="B624" s="5" t="s">
        <v>9</v>
      </c>
      <c r="C624" s="5" t="s">
        <v>22</v>
      </c>
      <c r="D624" s="5" t="s">
        <v>11</v>
      </c>
      <c r="E624" s="5" t="s">
        <v>12</v>
      </c>
      <c r="F624" s="5">
        <v>65</v>
      </c>
      <c r="G624" s="5">
        <v>81</v>
      </c>
      <c r="H624" s="6">
        <v>73</v>
      </c>
      <c r="I624" s="5">
        <f>SUM(F624:H624)</f>
        <v>219</v>
      </c>
      <c r="J624" s="7">
        <f>AVERAGE(F624:H624)</f>
        <v>73</v>
      </c>
      <c r="K624" s="8">
        <f>I624/300</f>
        <v>0.73</v>
      </c>
      <c r="L624" s="5">
        <f>_xlfn.RANK.EQ(J624,$J$2:$J$1001,0)</f>
        <v>367</v>
      </c>
    </row>
    <row r="625" spans="1:12" x14ac:dyDescent="0.3">
      <c r="A625" s="5" t="s">
        <v>17</v>
      </c>
      <c r="B625" s="5" t="s">
        <v>18</v>
      </c>
      <c r="C625" s="5" t="s">
        <v>16</v>
      </c>
      <c r="D625" s="5" t="s">
        <v>20</v>
      </c>
      <c r="E625" s="5" t="s">
        <v>12</v>
      </c>
      <c r="F625" s="5">
        <v>73</v>
      </c>
      <c r="G625" s="5">
        <v>74</v>
      </c>
      <c r="H625" s="6">
        <v>72</v>
      </c>
      <c r="I625" s="5">
        <f>SUM(F625:H625)</f>
        <v>219</v>
      </c>
      <c r="J625" s="7">
        <f>AVERAGE(F625:H625)</f>
        <v>73</v>
      </c>
      <c r="K625" s="8">
        <f>I625/300</f>
        <v>0.73</v>
      </c>
      <c r="L625" s="5">
        <f>_xlfn.RANK.EQ(J625,$J$2:$J$1001,0)</f>
        <v>367</v>
      </c>
    </row>
    <row r="626" spans="1:12" x14ac:dyDescent="0.3">
      <c r="A626" s="5" t="s">
        <v>8</v>
      </c>
      <c r="B626" s="5" t="s">
        <v>21</v>
      </c>
      <c r="C626" s="5" t="s">
        <v>23</v>
      </c>
      <c r="D626" s="5" t="s">
        <v>11</v>
      </c>
      <c r="E626" s="5" t="s">
        <v>12</v>
      </c>
      <c r="F626" s="5">
        <v>76</v>
      </c>
      <c r="G626" s="5">
        <v>72</v>
      </c>
      <c r="H626" s="6">
        <v>71</v>
      </c>
      <c r="I626" s="5">
        <f>SUM(F626:H626)</f>
        <v>219</v>
      </c>
      <c r="J626" s="7">
        <f>AVERAGE(F626:H626)</f>
        <v>73</v>
      </c>
      <c r="K626" s="8">
        <f>I626/300</f>
        <v>0.73</v>
      </c>
      <c r="L626" s="5">
        <f>_xlfn.RANK.EQ(J626,$J$2:$J$1001,0)</f>
        <v>367</v>
      </c>
    </row>
    <row r="627" spans="1:12" x14ac:dyDescent="0.3">
      <c r="A627" s="5" t="s">
        <v>17</v>
      </c>
      <c r="B627" s="5" t="s">
        <v>18</v>
      </c>
      <c r="C627" s="5" t="s">
        <v>22</v>
      </c>
      <c r="D627" s="5" t="s">
        <v>11</v>
      </c>
      <c r="E627" s="5" t="s">
        <v>15</v>
      </c>
      <c r="F627" s="5">
        <v>72</v>
      </c>
      <c r="G627" s="5">
        <v>73</v>
      </c>
      <c r="H627" s="6">
        <v>74</v>
      </c>
      <c r="I627" s="5">
        <f>SUM(F627:H627)</f>
        <v>219</v>
      </c>
      <c r="J627" s="7">
        <f>AVERAGE(F627:H627)</f>
        <v>73</v>
      </c>
      <c r="K627" s="8">
        <f>I627/300</f>
        <v>0.73</v>
      </c>
      <c r="L627" s="5">
        <f>_xlfn.RANK.EQ(J627,$J$2:$J$1001,0)</f>
        <v>367</v>
      </c>
    </row>
    <row r="628" spans="1:12" x14ac:dyDescent="0.3">
      <c r="A628" s="5" t="s">
        <v>8</v>
      </c>
      <c r="B628" s="5" t="s">
        <v>13</v>
      </c>
      <c r="C628" s="5" t="s">
        <v>10</v>
      </c>
      <c r="D628" s="5" t="s">
        <v>11</v>
      </c>
      <c r="E628" s="5" t="s">
        <v>12</v>
      </c>
      <c r="F628" s="5">
        <v>63</v>
      </c>
      <c r="G628" s="5">
        <v>75</v>
      </c>
      <c r="H628" s="6">
        <v>81</v>
      </c>
      <c r="I628" s="5">
        <f>SUM(F628:H628)</f>
        <v>219</v>
      </c>
      <c r="J628" s="7">
        <f>AVERAGE(F628:H628)</f>
        <v>73</v>
      </c>
      <c r="K628" s="8">
        <f>I628/300</f>
        <v>0.73</v>
      </c>
      <c r="L628" s="5">
        <f>_xlfn.RANK.EQ(J628,$J$2:$J$1001,0)</f>
        <v>367</v>
      </c>
    </row>
    <row r="629" spans="1:12" x14ac:dyDescent="0.3">
      <c r="A629" s="5" t="s">
        <v>8</v>
      </c>
      <c r="B629" s="5" t="s">
        <v>9</v>
      </c>
      <c r="C629" s="5" t="s">
        <v>22</v>
      </c>
      <c r="D629" s="5" t="s">
        <v>11</v>
      </c>
      <c r="E629" s="5" t="s">
        <v>15</v>
      </c>
      <c r="F629" s="5">
        <v>69</v>
      </c>
      <c r="G629" s="5">
        <v>76</v>
      </c>
      <c r="H629" s="6">
        <v>74</v>
      </c>
      <c r="I629" s="5">
        <f>SUM(F629:H629)</f>
        <v>219</v>
      </c>
      <c r="J629" s="7">
        <f>AVERAGE(F629:H629)</f>
        <v>73</v>
      </c>
      <c r="K629" s="8">
        <f>I629/300</f>
        <v>0.73</v>
      </c>
      <c r="L629" s="5">
        <f>_xlfn.RANK.EQ(J629,$J$2:$J$1001,0)</f>
        <v>367</v>
      </c>
    </row>
    <row r="630" spans="1:12" x14ac:dyDescent="0.3">
      <c r="A630" s="5" t="s">
        <v>17</v>
      </c>
      <c r="B630" s="5" t="s">
        <v>21</v>
      </c>
      <c r="C630" s="5" t="s">
        <v>14</v>
      </c>
      <c r="D630" s="5" t="s">
        <v>11</v>
      </c>
      <c r="E630" s="5" t="s">
        <v>12</v>
      </c>
      <c r="F630" s="5">
        <v>79</v>
      </c>
      <c r="G630" s="5">
        <v>73</v>
      </c>
      <c r="H630" s="6">
        <v>67</v>
      </c>
      <c r="I630" s="5">
        <f>SUM(F630:H630)</f>
        <v>219</v>
      </c>
      <c r="J630" s="7">
        <f>AVERAGE(F630:H630)</f>
        <v>73</v>
      </c>
      <c r="K630" s="8">
        <f>I630/300</f>
        <v>0.73</v>
      </c>
      <c r="L630" s="5">
        <f>_xlfn.RANK.EQ(J630,$J$2:$J$1001,0)</f>
        <v>367</v>
      </c>
    </row>
    <row r="631" spans="1:12" x14ac:dyDescent="0.3">
      <c r="A631" s="5" t="s">
        <v>17</v>
      </c>
      <c r="B631" s="5" t="s">
        <v>24</v>
      </c>
      <c r="C631" s="5" t="s">
        <v>14</v>
      </c>
      <c r="D631" s="5" t="s">
        <v>11</v>
      </c>
      <c r="E631" s="5" t="s">
        <v>12</v>
      </c>
      <c r="F631" s="5">
        <v>76</v>
      </c>
      <c r="G631" s="5">
        <v>71</v>
      </c>
      <c r="H631" s="6">
        <v>72</v>
      </c>
      <c r="I631" s="5">
        <f>SUM(F631:H631)</f>
        <v>219</v>
      </c>
      <c r="J631" s="7">
        <f>AVERAGE(F631:H631)</f>
        <v>73</v>
      </c>
      <c r="K631" s="8">
        <f>I631/300</f>
        <v>0.73</v>
      </c>
      <c r="L631" s="5">
        <f>_xlfn.RANK.EQ(J631,$J$2:$J$1001,0)</f>
        <v>367</v>
      </c>
    </row>
    <row r="632" spans="1:12" x14ac:dyDescent="0.3">
      <c r="A632" s="5" t="s">
        <v>8</v>
      </c>
      <c r="B632" s="5" t="s">
        <v>21</v>
      </c>
      <c r="C632" s="5" t="s">
        <v>22</v>
      </c>
      <c r="D632" s="5" t="s">
        <v>11</v>
      </c>
      <c r="E632" s="5" t="s">
        <v>12</v>
      </c>
      <c r="F632" s="5">
        <v>69</v>
      </c>
      <c r="G632" s="5">
        <v>77</v>
      </c>
      <c r="H632" s="6">
        <v>73</v>
      </c>
      <c r="I632" s="5">
        <f>SUM(F632:H632)</f>
        <v>219</v>
      </c>
      <c r="J632" s="7">
        <f>AVERAGE(F632:H632)</f>
        <v>73</v>
      </c>
      <c r="K632" s="8">
        <f>I632/300</f>
        <v>0.73</v>
      </c>
      <c r="L632" s="5">
        <f>_xlfn.RANK.EQ(J632,$J$2:$J$1001,0)</f>
        <v>367</v>
      </c>
    </row>
    <row r="633" spans="1:12" x14ac:dyDescent="0.3">
      <c r="A633" s="5" t="s">
        <v>8</v>
      </c>
      <c r="B633" s="5" t="s">
        <v>13</v>
      </c>
      <c r="C633" s="5" t="s">
        <v>10</v>
      </c>
      <c r="D633" s="5" t="s">
        <v>20</v>
      </c>
      <c r="E633" s="5" t="s">
        <v>12</v>
      </c>
      <c r="F633" s="5">
        <v>62</v>
      </c>
      <c r="G633" s="5">
        <v>78</v>
      </c>
      <c r="H633" s="6">
        <v>79</v>
      </c>
      <c r="I633" s="5">
        <f>SUM(F633:H633)</f>
        <v>219</v>
      </c>
      <c r="J633" s="7">
        <f>AVERAGE(F633:H633)</f>
        <v>73</v>
      </c>
      <c r="K633" s="8">
        <f>I633/300</f>
        <v>0.73</v>
      </c>
      <c r="L633" s="5">
        <f>_xlfn.RANK.EQ(J633,$J$2:$J$1001,0)</f>
        <v>367</v>
      </c>
    </row>
    <row r="634" spans="1:12" x14ac:dyDescent="0.3">
      <c r="A634" s="5" t="s">
        <v>17</v>
      </c>
      <c r="B634" s="5" t="s">
        <v>13</v>
      </c>
      <c r="C634" s="5" t="s">
        <v>10</v>
      </c>
      <c r="D634" s="5" t="s">
        <v>20</v>
      </c>
      <c r="E634" s="5" t="s">
        <v>15</v>
      </c>
      <c r="F634" s="5">
        <v>70</v>
      </c>
      <c r="G634" s="5">
        <v>75</v>
      </c>
      <c r="H634" s="6">
        <v>74</v>
      </c>
      <c r="I634" s="5">
        <f>SUM(F634:H634)</f>
        <v>219</v>
      </c>
      <c r="J634" s="7">
        <f>AVERAGE(F634:H634)</f>
        <v>73</v>
      </c>
      <c r="K634" s="8">
        <f>I634/300</f>
        <v>0.73</v>
      </c>
      <c r="L634" s="5">
        <f>_xlfn.RANK.EQ(J634,$J$2:$J$1001,0)</f>
        <v>367</v>
      </c>
    </row>
    <row r="635" spans="1:12" x14ac:dyDescent="0.3">
      <c r="A635" s="5" t="s">
        <v>17</v>
      </c>
      <c r="B635" s="5" t="s">
        <v>13</v>
      </c>
      <c r="C635" s="5" t="s">
        <v>23</v>
      </c>
      <c r="D635" s="5" t="s">
        <v>11</v>
      </c>
      <c r="E635" s="5" t="s">
        <v>15</v>
      </c>
      <c r="F635" s="5">
        <v>78</v>
      </c>
      <c r="G635" s="5">
        <v>72</v>
      </c>
      <c r="H635" s="6">
        <v>69</v>
      </c>
      <c r="I635" s="5">
        <f>SUM(F635:H635)</f>
        <v>219</v>
      </c>
      <c r="J635" s="7">
        <f>AVERAGE(F635:H635)</f>
        <v>73</v>
      </c>
      <c r="K635" s="8">
        <f>I635/300</f>
        <v>0.73</v>
      </c>
      <c r="L635" s="5">
        <f>_xlfn.RANK.EQ(J635,$J$2:$J$1001,0)</f>
        <v>367</v>
      </c>
    </row>
    <row r="636" spans="1:12" x14ac:dyDescent="0.3">
      <c r="A636" s="5" t="s">
        <v>17</v>
      </c>
      <c r="B636" s="5" t="s">
        <v>18</v>
      </c>
      <c r="C636" s="5" t="s">
        <v>14</v>
      </c>
      <c r="D636" s="5" t="s">
        <v>11</v>
      </c>
      <c r="E636" s="5" t="s">
        <v>15</v>
      </c>
      <c r="F636" s="5">
        <v>78</v>
      </c>
      <c r="G636" s="5">
        <v>72</v>
      </c>
      <c r="H636" s="6">
        <v>70</v>
      </c>
      <c r="I636" s="5">
        <f>SUM(F636:H636)</f>
        <v>220</v>
      </c>
      <c r="J636" s="7">
        <f>AVERAGE(F636:H636)</f>
        <v>73.333333333333329</v>
      </c>
      <c r="K636" s="8">
        <f>I636/300</f>
        <v>0.73333333333333328</v>
      </c>
      <c r="L636" s="5">
        <f>_xlfn.RANK.EQ(J636,$J$2:$J$1001,0)</f>
        <v>356</v>
      </c>
    </row>
    <row r="637" spans="1:12" x14ac:dyDescent="0.3">
      <c r="A637" s="5" t="s">
        <v>8</v>
      </c>
      <c r="B637" s="5" t="s">
        <v>13</v>
      </c>
      <c r="C637" s="5" t="s">
        <v>19</v>
      </c>
      <c r="D637" s="5" t="s">
        <v>11</v>
      </c>
      <c r="E637" s="5" t="s">
        <v>12</v>
      </c>
      <c r="F637" s="5">
        <v>69</v>
      </c>
      <c r="G637" s="5">
        <v>80</v>
      </c>
      <c r="H637" s="6">
        <v>71</v>
      </c>
      <c r="I637" s="5">
        <f>SUM(F637:H637)</f>
        <v>220</v>
      </c>
      <c r="J637" s="7">
        <f>AVERAGE(F637:H637)</f>
        <v>73.333333333333329</v>
      </c>
      <c r="K637" s="8">
        <f>I637/300</f>
        <v>0.73333333333333328</v>
      </c>
      <c r="L637" s="5">
        <f>_xlfn.RANK.EQ(J637,$J$2:$J$1001,0)</f>
        <v>356</v>
      </c>
    </row>
    <row r="638" spans="1:12" x14ac:dyDescent="0.3">
      <c r="A638" s="5" t="s">
        <v>8</v>
      </c>
      <c r="B638" s="5" t="s">
        <v>13</v>
      </c>
      <c r="C638" s="5" t="s">
        <v>23</v>
      </c>
      <c r="D638" s="5" t="s">
        <v>20</v>
      </c>
      <c r="E638" s="5" t="s">
        <v>15</v>
      </c>
      <c r="F638" s="5">
        <v>64</v>
      </c>
      <c r="G638" s="5">
        <v>79</v>
      </c>
      <c r="H638" s="6">
        <v>77</v>
      </c>
      <c r="I638" s="5">
        <f>SUM(F638:H638)</f>
        <v>220</v>
      </c>
      <c r="J638" s="7">
        <f>AVERAGE(F638:H638)</f>
        <v>73.333333333333329</v>
      </c>
      <c r="K638" s="8">
        <f>I638/300</f>
        <v>0.73333333333333328</v>
      </c>
      <c r="L638" s="5">
        <f>_xlfn.RANK.EQ(J638,$J$2:$J$1001,0)</f>
        <v>356</v>
      </c>
    </row>
    <row r="639" spans="1:12" x14ac:dyDescent="0.3">
      <c r="A639" s="5" t="s">
        <v>17</v>
      </c>
      <c r="B639" s="5" t="s">
        <v>9</v>
      </c>
      <c r="C639" s="5" t="s">
        <v>19</v>
      </c>
      <c r="D639" s="5" t="s">
        <v>11</v>
      </c>
      <c r="E639" s="5" t="s">
        <v>12</v>
      </c>
      <c r="F639" s="5">
        <v>80</v>
      </c>
      <c r="G639" s="5">
        <v>76</v>
      </c>
      <c r="H639" s="6">
        <v>64</v>
      </c>
      <c r="I639" s="5">
        <f>SUM(F639:H639)</f>
        <v>220</v>
      </c>
      <c r="J639" s="7">
        <f>AVERAGE(F639:H639)</f>
        <v>73.333333333333329</v>
      </c>
      <c r="K639" s="8">
        <f>I639/300</f>
        <v>0.73333333333333328</v>
      </c>
      <c r="L639" s="5">
        <f>_xlfn.RANK.EQ(J639,$J$2:$J$1001,0)</f>
        <v>356</v>
      </c>
    </row>
    <row r="640" spans="1:12" x14ac:dyDescent="0.3">
      <c r="A640" s="5" t="s">
        <v>17</v>
      </c>
      <c r="B640" s="5" t="s">
        <v>21</v>
      </c>
      <c r="C640" s="5" t="s">
        <v>23</v>
      </c>
      <c r="D640" s="5" t="s">
        <v>11</v>
      </c>
      <c r="E640" s="5" t="s">
        <v>12</v>
      </c>
      <c r="F640" s="5">
        <v>74</v>
      </c>
      <c r="G640" s="5">
        <v>74</v>
      </c>
      <c r="H640" s="6">
        <v>72</v>
      </c>
      <c r="I640" s="5">
        <f>SUM(F640:H640)</f>
        <v>220</v>
      </c>
      <c r="J640" s="7">
        <f>AVERAGE(F640:H640)</f>
        <v>73.333333333333329</v>
      </c>
      <c r="K640" s="8">
        <f>I640/300</f>
        <v>0.73333333333333328</v>
      </c>
      <c r="L640" s="5">
        <f>_xlfn.RANK.EQ(J640,$J$2:$J$1001,0)</f>
        <v>356</v>
      </c>
    </row>
    <row r="641" spans="1:12" x14ac:dyDescent="0.3">
      <c r="A641" s="5" t="s">
        <v>17</v>
      </c>
      <c r="B641" s="5" t="s">
        <v>21</v>
      </c>
      <c r="C641" s="5" t="s">
        <v>19</v>
      </c>
      <c r="D641" s="5" t="s">
        <v>11</v>
      </c>
      <c r="E641" s="5" t="s">
        <v>12</v>
      </c>
      <c r="F641" s="5">
        <v>80</v>
      </c>
      <c r="G641" s="5">
        <v>68</v>
      </c>
      <c r="H641" s="6">
        <v>72</v>
      </c>
      <c r="I641" s="5">
        <f>SUM(F641:H641)</f>
        <v>220</v>
      </c>
      <c r="J641" s="7">
        <f>AVERAGE(F641:H641)</f>
        <v>73.333333333333329</v>
      </c>
      <c r="K641" s="8">
        <f>I641/300</f>
        <v>0.73333333333333328</v>
      </c>
      <c r="L641" s="5">
        <f>_xlfn.RANK.EQ(J641,$J$2:$J$1001,0)</f>
        <v>356</v>
      </c>
    </row>
    <row r="642" spans="1:12" x14ac:dyDescent="0.3">
      <c r="A642" s="5" t="s">
        <v>17</v>
      </c>
      <c r="B642" s="5" t="s">
        <v>21</v>
      </c>
      <c r="C642" s="5" t="s">
        <v>14</v>
      </c>
      <c r="D642" s="5" t="s">
        <v>11</v>
      </c>
      <c r="E642" s="5" t="s">
        <v>12</v>
      </c>
      <c r="F642" s="5">
        <v>76</v>
      </c>
      <c r="G642" s="5">
        <v>71</v>
      </c>
      <c r="H642" s="6">
        <v>73</v>
      </c>
      <c r="I642" s="5">
        <f>SUM(F642:H642)</f>
        <v>220</v>
      </c>
      <c r="J642" s="7">
        <f>AVERAGE(F642:H642)</f>
        <v>73.333333333333329</v>
      </c>
      <c r="K642" s="8">
        <f>I642/300</f>
        <v>0.73333333333333328</v>
      </c>
      <c r="L642" s="5">
        <f>_xlfn.RANK.EQ(J642,$J$2:$J$1001,0)</f>
        <v>356</v>
      </c>
    </row>
    <row r="643" spans="1:12" x14ac:dyDescent="0.3">
      <c r="A643" s="5" t="s">
        <v>17</v>
      </c>
      <c r="B643" s="5" t="s">
        <v>13</v>
      </c>
      <c r="C643" s="5" t="s">
        <v>16</v>
      </c>
      <c r="D643" s="5" t="s">
        <v>11</v>
      </c>
      <c r="E643" s="5" t="s">
        <v>12</v>
      </c>
      <c r="F643" s="5">
        <v>79</v>
      </c>
      <c r="G643" s="5">
        <v>72</v>
      </c>
      <c r="H643" s="6">
        <v>69</v>
      </c>
      <c r="I643" s="5">
        <f>SUM(F643:H643)</f>
        <v>220</v>
      </c>
      <c r="J643" s="7">
        <f>AVERAGE(F643:H643)</f>
        <v>73.333333333333329</v>
      </c>
      <c r="K643" s="8">
        <f>I643/300</f>
        <v>0.73333333333333328</v>
      </c>
      <c r="L643" s="5">
        <f>_xlfn.RANK.EQ(J643,$J$2:$J$1001,0)</f>
        <v>356</v>
      </c>
    </row>
    <row r="644" spans="1:12" x14ac:dyDescent="0.3">
      <c r="A644" s="5" t="s">
        <v>17</v>
      </c>
      <c r="B644" s="5" t="s">
        <v>13</v>
      </c>
      <c r="C644" s="5" t="s">
        <v>23</v>
      </c>
      <c r="D644" s="5" t="s">
        <v>20</v>
      </c>
      <c r="E644" s="5" t="s">
        <v>12</v>
      </c>
      <c r="F644" s="5">
        <v>79</v>
      </c>
      <c r="G644" s="5">
        <v>76</v>
      </c>
      <c r="H644" s="6">
        <v>65</v>
      </c>
      <c r="I644" s="5">
        <f>SUM(F644:H644)</f>
        <v>220</v>
      </c>
      <c r="J644" s="7">
        <f>AVERAGE(F644:H644)</f>
        <v>73.333333333333329</v>
      </c>
      <c r="K644" s="8">
        <f>I644/300</f>
        <v>0.73333333333333328</v>
      </c>
      <c r="L644" s="5">
        <f>_xlfn.RANK.EQ(J644,$J$2:$J$1001,0)</f>
        <v>356</v>
      </c>
    </row>
    <row r="645" spans="1:12" x14ac:dyDescent="0.3">
      <c r="A645" s="5" t="s">
        <v>8</v>
      </c>
      <c r="B645" s="5" t="s">
        <v>9</v>
      </c>
      <c r="C645" s="5" t="s">
        <v>23</v>
      </c>
      <c r="D645" s="5" t="s">
        <v>20</v>
      </c>
      <c r="E645" s="5" t="s">
        <v>15</v>
      </c>
      <c r="F645" s="5">
        <v>63</v>
      </c>
      <c r="G645" s="5">
        <v>78</v>
      </c>
      <c r="H645" s="6">
        <v>79</v>
      </c>
      <c r="I645" s="5">
        <f>SUM(F645:H645)</f>
        <v>220</v>
      </c>
      <c r="J645" s="7">
        <f>AVERAGE(F645:H645)</f>
        <v>73.333333333333329</v>
      </c>
      <c r="K645" s="8">
        <f>I645/300</f>
        <v>0.73333333333333328</v>
      </c>
      <c r="L645" s="5">
        <f>_xlfn.RANK.EQ(J645,$J$2:$J$1001,0)</f>
        <v>356</v>
      </c>
    </row>
    <row r="646" spans="1:12" x14ac:dyDescent="0.3">
      <c r="A646" s="5" t="s">
        <v>8</v>
      </c>
      <c r="B646" s="5" t="s">
        <v>24</v>
      </c>
      <c r="C646" s="5" t="s">
        <v>23</v>
      </c>
      <c r="D646" s="5" t="s">
        <v>20</v>
      </c>
      <c r="E646" s="5" t="s">
        <v>12</v>
      </c>
      <c r="F646" s="5">
        <v>74</v>
      </c>
      <c r="G646" s="5">
        <v>74</v>
      </c>
      <c r="H646" s="6">
        <v>72</v>
      </c>
      <c r="I646" s="5">
        <f>SUM(F646:H646)</f>
        <v>220</v>
      </c>
      <c r="J646" s="7">
        <f>AVERAGE(F646:H646)</f>
        <v>73.333333333333329</v>
      </c>
      <c r="K646" s="8">
        <f>I646/300</f>
        <v>0.73333333333333328</v>
      </c>
      <c r="L646" s="5">
        <f>_xlfn.RANK.EQ(J646,$J$2:$J$1001,0)</f>
        <v>356</v>
      </c>
    </row>
    <row r="647" spans="1:12" x14ac:dyDescent="0.3">
      <c r="A647" s="5" t="s">
        <v>17</v>
      </c>
      <c r="B647" s="5" t="s">
        <v>13</v>
      </c>
      <c r="C647" s="5" t="s">
        <v>22</v>
      </c>
      <c r="D647" s="5" t="s">
        <v>11</v>
      </c>
      <c r="E647" s="5" t="s">
        <v>12</v>
      </c>
      <c r="F647" s="5">
        <v>71</v>
      </c>
      <c r="G647" s="5">
        <v>79</v>
      </c>
      <c r="H647" s="6">
        <v>71</v>
      </c>
      <c r="I647" s="5">
        <f>SUM(F647:H647)</f>
        <v>221</v>
      </c>
      <c r="J647" s="7">
        <f>AVERAGE(F647:H647)</f>
        <v>73.666666666666671</v>
      </c>
      <c r="K647" s="8">
        <f>I647/300</f>
        <v>0.73666666666666669</v>
      </c>
      <c r="L647" s="5">
        <f>_xlfn.RANK.EQ(J647,$J$2:$J$1001,0)</f>
        <v>351</v>
      </c>
    </row>
    <row r="648" spans="1:12" x14ac:dyDescent="0.3">
      <c r="A648" s="5" t="s">
        <v>17</v>
      </c>
      <c r="B648" s="5" t="s">
        <v>24</v>
      </c>
      <c r="C648" s="5" t="s">
        <v>22</v>
      </c>
      <c r="D648" s="5" t="s">
        <v>11</v>
      </c>
      <c r="E648" s="5" t="s">
        <v>12</v>
      </c>
      <c r="F648" s="5">
        <v>80</v>
      </c>
      <c r="G648" s="5">
        <v>76</v>
      </c>
      <c r="H648" s="6">
        <v>65</v>
      </c>
      <c r="I648" s="5">
        <f>SUM(F648:H648)</f>
        <v>221</v>
      </c>
      <c r="J648" s="7">
        <f>AVERAGE(F648:H648)</f>
        <v>73.666666666666671</v>
      </c>
      <c r="K648" s="8">
        <f>I648/300</f>
        <v>0.73666666666666669</v>
      </c>
      <c r="L648" s="5">
        <f>_xlfn.RANK.EQ(J648,$J$2:$J$1001,0)</f>
        <v>351</v>
      </c>
    </row>
    <row r="649" spans="1:12" x14ac:dyDescent="0.3">
      <c r="A649" s="5" t="s">
        <v>8</v>
      </c>
      <c r="B649" s="5" t="s">
        <v>13</v>
      </c>
      <c r="C649" s="5" t="s">
        <v>14</v>
      </c>
      <c r="D649" s="5" t="s">
        <v>11</v>
      </c>
      <c r="E649" s="5" t="s">
        <v>15</v>
      </c>
      <c r="F649" s="5">
        <v>63</v>
      </c>
      <c r="G649" s="5">
        <v>78</v>
      </c>
      <c r="H649" s="6">
        <v>80</v>
      </c>
      <c r="I649" s="5">
        <f>SUM(F649:H649)</f>
        <v>221</v>
      </c>
      <c r="J649" s="7">
        <f>AVERAGE(F649:H649)</f>
        <v>73.666666666666671</v>
      </c>
      <c r="K649" s="8">
        <f>I649/300</f>
        <v>0.73666666666666669</v>
      </c>
      <c r="L649" s="5">
        <f>_xlfn.RANK.EQ(J649,$J$2:$J$1001,0)</f>
        <v>351</v>
      </c>
    </row>
    <row r="650" spans="1:12" x14ac:dyDescent="0.3">
      <c r="A650" s="5" t="s">
        <v>8</v>
      </c>
      <c r="B650" s="5" t="s">
        <v>9</v>
      </c>
      <c r="C650" s="5" t="s">
        <v>10</v>
      </c>
      <c r="D650" s="5" t="s">
        <v>11</v>
      </c>
      <c r="E650" s="5" t="s">
        <v>15</v>
      </c>
      <c r="F650" s="5">
        <v>66</v>
      </c>
      <c r="G650" s="5">
        <v>74</v>
      </c>
      <c r="H650" s="6">
        <v>81</v>
      </c>
      <c r="I650" s="5">
        <f>SUM(F650:H650)</f>
        <v>221</v>
      </c>
      <c r="J650" s="7">
        <f>AVERAGE(F650:H650)</f>
        <v>73.666666666666671</v>
      </c>
      <c r="K650" s="8">
        <f>I650/300</f>
        <v>0.73666666666666669</v>
      </c>
      <c r="L650" s="5">
        <f>_xlfn.RANK.EQ(J650,$J$2:$J$1001,0)</f>
        <v>351</v>
      </c>
    </row>
    <row r="651" spans="1:12" x14ac:dyDescent="0.3">
      <c r="A651" s="5" t="s">
        <v>8</v>
      </c>
      <c r="B651" s="5" t="s">
        <v>13</v>
      </c>
      <c r="C651" s="5" t="s">
        <v>10</v>
      </c>
      <c r="D651" s="5" t="s">
        <v>20</v>
      </c>
      <c r="E651" s="5" t="s">
        <v>15</v>
      </c>
      <c r="F651" s="5">
        <v>66</v>
      </c>
      <c r="G651" s="5">
        <v>74</v>
      </c>
      <c r="H651" s="6">
        <v>81</v>
      </c>
      <c r="I651" s="5">
        <f>SUM(F651:H651)</f>
        <v>221</v>
      </c>
      <c r="J651" s="7">
        <f>AVERAGE(F651:H651)</f>
        <v>73.666666666666671</v>
      </c>
      <c r="K651" s="8">
        <f>I651/300</f>
        <v>0.73666666666666669</v>
      </c>
      <c r="L651" s="5">
        <f>_xlfn.RANK.EQ(J651,$J$2:$J$1001,0)</f>
        <v>351</v>
      </c>
    </row>
    <row r="652" spans="1:12" x14ac:dyDescent="0.3">
      <c r="A652" s="5" t="s">
        <v>8</v>
      </c>
      <c r="B652" s="5" t="s">
        <v>13</v>
      </c>
      <c r="C652" s="5" t="s">
        <v>23</v>
      </c>
      <c r="D652" s="5" t="s">
        <v>11</v>
      </c>
      <c r="E652" s="5" t="s">
        <v>12</v>
      </c>
      <c r="F652" s="5">
        <v>69</v>
      </c>
      <c r="G652" s="5">
        <v>75</v>
      </c>
      <c r="H652" s="6">
        <v>78</v>
      </c>
      <c r="I652" s="5">
        <f>SUM(F652:H652)</f>
        <v>222</v>
      </c>
      <c r="J652" s="7">
        <f>AVERAGE(F652:H652)</f>
        <v>74</v>
      </c>
      <c r="K652" s="8">
        <f>I652/300</f>
        <v>0.74</v>
      </c>
      <c r="L652" s="5">
        <f>_xlfn.RANK.EQ(J652,$J$2:$J$1001,0)</f>
        <v>345</v>
      </c>
    </row>
    <row r="653" spans="1:12" x14ac:dyDescent="0.3">
      <c r="A653" s="5" t="s">
        <v>8</v>
      </c>
      <c r="B653" s="5" t="s">
        <v>21</v>
      </c>
      <c r="C653" s="5" t="s">
        <v>14</v>
      </c>
      <c r="D653" s="5" t="s">
        <v>11</v>
      </c>
      <c r="E653" s="5" t="s">
        <v>12</v>
      </c>
      <c r="F653" s="5">
        <v>77</v>
      </c>
      <c r="G653" s="5">
        <v>68</v>
      </c>
      <c r="H653" s="6">
        <v>77</v>
      </c>
      <c r="I653" s="5">
        <f>SUM(F653:H653)</f>
        <v>222</v>
      </c>
      <c r="J653" s="7">
        <f>AVERAGE(F653:H653)</f>
        <v>74</v>
      </c>
      <c r="K653" s="8">
        <f>I653/300</f>
        <v>0.74</v>
      </c>
      <c r="L653" s="5">
        <f>_xlfn.RANK.EQ(J653,$J$2:$J$1001,0)</f>
        <v>345</v>
      </c>
    </row>
    <row r="654" spans="1:12" x14ac:dyDescent="0.3">
      <c r="A654" s="5" t="s">
        <v>8</v>
      </c>
      <c r="B654" s="5" t="s">
        <v>21</v>
      </c>
      <c r="C654" s="5" t="s">
        <v>23</v>
      </c>
      <c r="D654" s="5" t="s">
        <v>11</v>
      </c>
      <c r="E654" s="5" t="s">
        <v>15</v>
      </c>
      <c r="F654" s="5">
        <v>66</v>
      </c>
      <c r="G654" s="5">
        <v>78</v>
      </c>
      <c r="H654" s="6">
        <v>78</v>
      </c>
      <c r="I654" s="5">
        <f>SUM(F654:H654)</f>
        <v>222</v>
      </c>
      <c r="J654" s="7">
        <f>AVERAGE(F654:H654)</f>
        <v>74</v>
      </c>
      <c r="K654" s="8">
        <f>I654/300</f>
        <v>0.74</v>
      </c>
      <c r="L654" s="5">
        <f>_xlfn.RANK.EQ(J654,$J$2:$J$1001,0)</f>
        <v>345</v>
      </c>
    </row>
    <row r="655" spans="1:12" x14ac:dyDescent="0.3">
      <c r="A655" s="5" t="s">
        <v>17</v>
      </c>
      <c r="B655" s="5" t="s">
        <v>24</v>
      </c>
      <c r="C655" s="5" t="s">
        <v>10</v>
      </c>
      <c r="D655" s="5" t="s">
        <v>11</v>
      </c>
      <c r="E655" s="5" t="s">
        <v>15</v>
      </c>
      <c r="F655" s="5">
        <v>85</v>
      </c>
      <c r="G655" s="5">
        <v>66</v>
      </c>
      <c r="H655" s="6">
        <v>71</v>
      </c>
      <c r="I655" s="5">
        <f>SUM(F655:H655)</f>
        <v>222</v>
      </c>
      <c r="J655" s="7">
        <f>AVERAGE(F655:H655)</f>
        <v>74</v>
      </c>
      <c r="K655" s="8">
        <f>I655/300</f>
        <v>0.74</v>
      </c>
      <c r="L655" s="5">
        <f>_xlfn.RANK.EQ(J655,$J$2:$J$1001,0)</f>
        <v>345</v>
      </c>
    </row>
    <row r="656" spans="1:12" x14ac:dyDescent="0.3">
      <c r="A656" s="5" t="s">
        <v>17</v>
      </c>
      <c r="B656" s="5" t="s">
        <v>21</v>
      </c>
      <c r="C656" s="5" t="s">
        <v>10</v>
      </c>
      <c r="D656" s="5" t="s">
        <v>11</v>
      </c>
      <c r="E656" s="5" t="s">
        <v>12</v>
      </c>
      <c r="F656" s="5">
        <v>75</v>
      </c>
      <c r="G656" s="5">
        <v>73</v>
      </c>
      <c r="H656" s="6">
        <v>74</v>
      </c>
      <c r="I656" s="5">
        <f>SUM(F656:H656)</f>
        <v>222</v>
      </c>
      <c r="J656" s="7">
        <f>AVERAGE(F656:H656)</f>
        <v>74</v>
      </c>
      <c r="K656" s="8">
        <f>I656/300</f>
        <v>0.74</v>
      </c>
      <c r="L656" s="5">
        <f>_xlfn.RANK.EQ(J656,$J$2:$J$1001,0)</f>
        <v>345</v>
      </c>
    </row>
    <row r="657" spans="1:12" x14ac:dyDescent="0.3">
      <c r="A657" s="5" t="s">
        <v>8</v>
      </c>
      <c r="B657" s="5" t="s">
        <v>13</v>
      </c>
      <c r="C657" s="5" t="s">
        <v>14</v>
      </c>
      <c r="D657" s="5" t="s">
        <v>11</v>
      </c>
      <c r="E657" s="5" t="s">
        <v>15</v>
      </c>
      <c r="F657" s="5">
        <v>71</v>
      </c>
      <c r="G657" s="5">
        <v>71</v>
      </c>
      <c r="H657" s="6">
        <v>80</v>
      </c>
      <c r="I657" s="5">
        <f>SUM(F657:H657)</f>
        <v>222</v>
      </c>
      <c r="J657" s="7">
        <f>AVERAGE(F657:H657)</f>
        <v>74</v>
      </c>
      <c r="K657" s="8">
        <f>I657/300</f>
        <v>0.74</v>
      </c>
      <c r="L657" s="5">
        <f>_xlfn.RANK.EQ(J657,$J$2:$J$1001,0)</f>
        <v>345</v>
      </c>
    </row>
    <row r="658" spans="1:12" x14ac:dyDescent="0.3">
      <c r="A658" s="5" t="s">
        <v>8</v>
      </c>
      <c r="B658" s="5" t="s">
        <v>21</v>
      </c>
      <c r="C658" s="5" t="s">
        <v>14</v>
      </c>
      <c r="D658" s="5" t="s">
        <v>20</v>
      </c>
      <c r="E658" s="5" t="s">
        <v>12</v>
      </c>
      <c r="F658" s="5">
        <v>65</v>
      </c>
      <c r="G658" s="5">
        <v>81</v>
      </c>
      <c r="H658" s="6">
        <v>77</v>
      </c>
      <c r="I658" s="5">
        <f>SUM(F658:H658)</f>
        <v>223</v>
      </c>
      <c r="J658" s="7">
        <f>AVERAGE(F658:H658)</f>
        <v>74.333333333333329</v>
      </c>
      <c r="K658" s="8">
        <f>I658/300</f>
        <v>0.74333333333333329</v>
      </c>
      <c r="L658" s="5">
        <f>_xlfn.RANK.EQ(J658,$J$2:$J$1001,0)</f>
        <v>333</v>
      </c>
    </row>
    <row r="659" spans="1:12" x14ac:dyDescent="0.3">
      <c r="A659" s="5" t="s">
        <v>17</v>
      </c>
      <c r="B659" s="5" t="s">
        <v>21</v>
      </c>
      <c r="C659" s="5" t="s">
        <v>23</v>
      </c>
      <c r="D659" s="5" t="s">
        <v>11</v>
      </c>
      <c r="E659" s="5" t="s">
        <v>15</v>
      </c>
      <c r="F659" s="5">
        <v>74</v>
      </c>
      <c r="G659" s="5">
        <v>71</v>
      </c>
      <c r="H659" s="6">
        <v>78</v>
      </c>
      <c r="I659" s="5">
        <f>SUM(F659:H659)</f>
        <v>223</v>
      </c>
      <c r="J659" s="7">
        <f>AVERAGE(F659:H659)</f>
        <v>74.333333333333329</v>
      </c>
      <c r="K659" s="8">
        <f>I659/300</f>
        <v>0.74333333333333329</v>
      </c>
      <c r="L659" s="5">
        <f>_xlfn.RANK.EQ(J659,$J$2:$J$1001,0)</f>
        <v>333</v>
      </c>
    </row>
    <row r="660" spans="1:12" x14ac:dyDescent="0.3">
      <c r="A660" s="5" t="s">
        <v>8</v>
      </c>
      <c r="B660" s="5" t="s">
        <v>9</v>
      </c>
      <c r="C660" s="5" t="s">
        <v>14</v>
      </c>
      <c r="D660" s="5" t="s">
        <v>11</v>
      </c>
      <c r="E660" s="5" t="s">
        <v>12</v>
      </c>
      <c r="F660" s="5">
        <v>70</v>
      </c>
      <c r="G660" s="5">
        <v>75</v>
      </c>
      <c r="H660" s="6">
        <v>78</v>
      </c>
      <c r="I660" s="5">
        <f>SUM(F660:H660)</f>
        <v>223</v>
      </c>
      <c r="J660" s="7">
        <f>AVERAGE(F660:H660)</f>
        <v>74.333333333333329</v>
      </c>
      <c r="K660" s="8">
        <f>I660/300</f>
        <v>0.74333333333333329</v>
      </c>
      <c r="L660" s="5">
        <f>_xlfn.RANK.EQ(J660,$J$2:$J$1001,0)</f>
        <v>333</v>
      </c>
    </row>
    <row r="661" spans="1:12" x14ac:dyDescent="0.3">
      <c r="A661" s="5" t="s">
        <v>8</v>
      </c>
      <c r="B661" s="5" t="s">
        <v>21</v>
      </c>
      <c r="C661" s="5" t="s">
        <v>14</v>
      </c>
      <c r="D661" s="5" t="s">
        <v>20</v>
      </c>
      <c r="E661" s="5" t="s">
        <v>15</v>
      </c>
      <c r="F661" s="5">
        <v>63</v>
      </c>
      <c r="G661" s="5">
        <v>80</v>
      </c>
      <c r="H661" s="6">
        <v>80</v>
      </c>
      <c r="I661" s="5">
        <f>SUM(F661:H661)</f>
        <v>223</v>
      </c>
      <c r="J661" s="7">
        <f>AVERAGE(F661:H661)</f>
        <v>74.333333333333329</v>
      </c>
      <c r="K661" s="8">
        <f>I661/300</f>
        <v>0.74333333333333329</v>
      </c>
      <c r="L661" s="5">
        <f>_xlfn.RANK.EQ(J661,$J$2:$J$1001,0)</f>
        <v>333</v>
      </c>
    </row>
    <row r="662" spans="1:12" x14ac:dyDescent="0.3">
      <c r="A662" s="5" t="s">
        <v>8</v>
      </c>
      <c r="B662" s="5" t="s">
        <v>21</v>
      </c>
      <c r="C662" s="5" t="s">
        <v>14</v>
      </c>
      <c r="D662" s="5" t="s">
        <v>11</v>
      </c>
      <c r="E662" s="5" t="s">
        <v>12</v>
      </c>
      <c r="F662" s="5">
        <v>69</v>
      </c>
      <c r="G662" s="5">
        <v>77</v>
      </c>
      <c r="H662" s="6">
        <v>77</v>
      </c>
      <c r="I662" s="5">
        <f>SUM(F662:H662)</f>
        <v>223</v>
      </c>
      <c r="J662" s="7">
        <f>AVERAGE(F662:H662)</f>
        <v>74.333333333333329</v>
      </c>
      <c r="K662" s="8">
        <f>I662/300</f>
        <v>0.74333333333333329</v>
      </c>
      <c r="L662" s="5">
        <f>_xlfn.RANK.EQ(J662,$J$2:$J$1001,0)</f>
        <v>333</v>
      </c>
    </row>
    <row r="663" spans="1:12" x14ac:dyDescent="0.3">
      <c r="A663" s="5" t="s">
        <v>8</v>
      </c>
      <c r="B663" s="5" t="s">
        <v>24</v>
      </c>
      <c r="C663" s="5" t="s">
        <v>22</v>
      </c>
      <c r="D663" s="5" t="s">
        <v>11</v>
      </c>
      <c r="E663" s="5" t="s">
        <v>12</v>
      </c>
      <c r="F663" s="5">
        <v>74</v>
      </c>
      <c r="G663" s="5">
        <v>76</v>
      </c>
      <c r="H663" s="6">
        <v>73</v>
      </c>
      <c r="I663" s="5">
        <f>SUM(F663:H663)</f>
        <v>223</v>
      </c>
      <c r="J663" s="7">
        <f>AVERAGE(F663:H663)</f>
        <v>74.333333333333329</v>
      </c>
      <c r="K663" s="8">
        <f>I663/300</f>
        <v>0.74333333333333329</v>
      </c>
      <c r="L663" s="5">
        <f>_xlfn.RANK.EQ(J663,$J$2:$J$1001,0)</f>
        <v>333</v>
      </c>
    </row>
    <row r="664" spans="1:12" x14ac:dyDescent="0.3">
      <c r="A664" s="5" t="s">
        <v>8</v>
      </c>
      <c r="B664" s="5" t="s">
        <v>21</v>
      </c>
      <c r="C664" s="5" t="s">
        <v>19</v>
      </c>
      <c r="D664" s="5" t="s">
        <v>11</v>
      </c>
      <c r="E664" s="5" t="s">
        <v>12</v>
      </c>
      <c r="F664" s="5">
        <v>76</v>
      </c>
      <c r="G664" s="5">
        <v>74</v>
      </c>
      <c r="H664" s="6">
        <v>73</v>
      </c>
      <c r="I664" s="5">
        <f>SUM(F664:H664)</f>
        <v>223</v>
      </c>
      <c r="J664" s="7">
        <f>AVERAGE(F664:H664)</f>
        <v>74.333333333333329</v>
      </c>
      <c r="K664" s="8">
        <f>I664/300</f>
        <v>0.74333333333333329</v>
      </c>
      <c r="L664" s="5">
        <f>_xlfn.RANK.EQ(J664,$J$2:$J$1001,0)</f>
        <v>333</v>
      </c>
    </row>
    <row r="665" spans="1:12" x14ac:dyDescent="0.3">
      <c r="A665" s="5" t="s">
        <v>8</v>
      </c>
      <c r="B665" s="5" t="s">
        <v>13</v>
      </c>
      <c r="C665" s="5" t="s">
        <v>14</v>
      </c>
      <c r="D665" s="5" t="s">
        <v>11</v>
      </c>
      <c r="E665" s="5" t="s">
        <v>12</v>
      </c>
      <c r="F665" s="5">
        <v>69</v>
      </c>
      <c r="G665" s="5">
        <v>78</v>
      </c>
      <c r="H665" s="6">
        <v>76</v>
      </c>
      <c r="I665" s="5">
        <f>SUM(F665:H665)</f>
        <v>223</v>
      </c>
      <c r="J665" s="7">
        <f>AVERAGE(F665:H665)</f>
        <v>74.333333333333329</v>
      </c>
      <c r="K665" s="8">
        <f>I665/300</f>
        <v>0.74333333333333329</v>
      </c>
      <c r="L665" s="5">
        <f>_xlfn.RANK.EQ(J665,$J$2:$J$1001,0)</f>
        <v>333</v>
      </c>
    </row>
    <row r="666" spans="1:12" x14ac:dyDescent="0.3">
      <c r="A666" s="5" t="s">
        <v>17</v>
      </c>
      <c r="B666" s="5" t="s">
        <v>13</v>
      </c>
      <c r="C666" s="5" t="s">
        <v>19</v>
      </c>
      <c r="D666" s="5" t="s">
        <v>11</v>
      </c>
      <c r="E666" s="5" t="s">
        <v>15</v>
      </c>
      <c r="F666" s="5">
        <v>73</v>
      </c>
      <c r="G666" s="5">
        <v>78</v>
      </c>
      <c r="H666" s="6">
        <v>72</v>
      </c>
      <c r="I666" s="5">
        <f>SUM(F666:H666)</f>
        <v>223</v>
      </c>
      <c r="J666" s="7">
        <f>AVERAGE(F666:H666)</f>
        <v>74.333333333333329</v>
      </c>
      <c r="K666" s="8">
        <f>I666/300</f>
        <v>0.74333333333333329</v>
      </c>
      <c r="L666" s="5">
        <f>_xlfn.RANK.EQ(J666,$J$2:$J$1001,0)</f>
        <v>333</v>
      </c>
    </row>
    <row r="667" spans="1:12" x14ac:dyDescent="0.3">
      <c r="A667" s="5" t="s">
        <v>17</v>
      </c>
      <c r="B667" s="5" t="s">
        <v>9</v>
      </c>
      <c r="C667" s="5" t="s">
        <v>14</v>
      </c>
      <c r="D667" s="5" t="s">
        <v>11</v>
      </c>
      <c r="E667" s="5" t="s">
        <v>15</v>
      </c>
      <c r="F667" s="5">
        <v>69</v>
      </c>
      <c r="G667" s="5">
        <v>77</v>
      </c>
      <c r="H667" s="6">
        <v>77</v>
      </c>
      <c r="I667" s="5">
        <f>SUM(F667:H667)</f>
        <v>223</v>
      </c>
      <c r="J667" s="7">
        <f>AVERAGE(F667:H667)</f>
        <v>74.333333333333329</v>
      </c>
      <c r="K667" s="8">
        <f>I667/300</f>
        <v>0.74333333333333329</v>
      </c>
      <c r="L667" s="5">
        <f>_xlfn.RANK.EQ(J667,$J$2:$J$1001,0)</f>
        <v>333</v>
      </c>
    </row>
    <row r="668" spans="1:12" x14ac:dyDescent="0.3">
      <c r="A668" s="5" t="s">
        <v>8</v>
      </c>
      <c r="B668" s="5" t="s">
        <v>13</v>
      </c>
      <c r="C668" s="5" t="s">
        <v>14</v>
      </c>
      <c r="D668" s="5" t="s">
        <v>11</v>
      </c>
      <c r="E668" s="5" t="s">
        <v>15</v>
      </c>
      <c r="F668" s="5">
        <v>64</v>
      </c>
      <c r="G668" s="5">
        <v>82</v>
      </c>
      <c r="H668" s="6">
        <v>77</v>
      </c>
      <c r="I668" s="5">
        <f>SUM(F668:H668)</f>
        <v>223</v>
      </c>
      <c r="J668" s="7">
        <f>AVERAGE(F668:H668)</f>
        <v>74.333333333333329</v>
      </c>
      <c r="K668" s="8">
        <f>I668/300</f>
        <v>0.74333333333333329</v>
      </c>
      <c r="L668" s="5">
        <f>_xlfn.RANK.EQ(J668,$J$2:$J$1001,0)</f>
        <v>333</v>
      </c>
    </row>
    <row r="669" spans="1:12" x14ac:dyDescent="0.3">
      <c r="A669" s="5" t="s">
        <v>8</v>
      </c>
      <c r="B669" s="5" t="s">
        <v>21</v>
      </c>
      <c r="C669" s="5" t="s">
        <v>14</v>
      </c>
      <c r="D669" s="5" t="s">
        <v>11</v>
      </c>
      <c r="E669" s="5" t="s">
        <v>15</v>
      </c>
      <c r="F669" s="5">
        <v>68</v>
      </c>
      <c r="G669" s="5">
        <v>78</v>
      </c>
      <c r="H669" s="6">
        <v>77</v>
      </c>
      <c r="I669" s="5">
        <f>SUM(F669:H669)</f>
        <v>223</v>
      </c>
      <c r="J669" s="7">
        <f>AVERAGE(F669:H669)</f>
        <v>74.333333333333329</v>
      </c>
      <c r="K669" s="8">
        <f>I669/300</f>
        <v>0.74333333333333329</v>
      </c>
      <c r="L669" s="5">
        <f>_xlfn.RANK.EQ(J669,$J$2:$J$1001,0)</f>
        <v>333</v>
      </c>
    </row>
    <row r="670" spans="1:12" x14ac:dyDescent="0.3">
      <c r="A670" s="5" t="s">
        <v>8</v>
      </c>
      <c r="B670" s="5" t="s">
        <v>21</v>
      </c>
      <c r="C670" s="5" t="s">
        <v>10</v>
      </c>
      <c r="D670" s="5" t="s">
        <v>11</v>
      </c>
      <c r="E670" s="5" t="s">
        <v>15</v>
      </c>
      <c r="F670" s="5">
        <v>68</v>
      </c>
      <c r="G670" s="5">
        <v>75</v>
      </c>
      <c r="H670" s="6">
        <v>81</v>
      </c>
      <c r="I670" s="5">
        <f>SUM(F670:H670)</f>
        <v>224</v>
      </c>
      <c r="J670" s="7">
        <f>AVERAGE(F670:H670)</f>
        <v>74.666666666666671</v>
      </c>
      <c r="K670" s="8">
        <f>I670/300</f>
        <v>0.7466666666666667</v>
      </c>
      <c r="L670" s="5">
        <f>_xlfn.RANK.EQ(J670,$J$2:$J$1001,0)</f>
        <v>325</v>
      </c>
    </row>
    <row r="671" spans="1:12" x14ac:dyDescent="0.3">
      <c r="A671" s="5" t="s">
        <v>8</v>
      </c>
      <c r="B671" s="5" t="s">
        <v>18</v>
      </c>
      <c r="C671" s="5" t="s">
        <v>23</v>
      </c>
      <c r="D671" s="5" t="s">
        <v>11</v>
      </c>
      <c r="E671" s="5" t="s">
        <v>15</v>
      </c>
      <c r="F671" s="5">
        <v>59</v>
      </c>
      <c r="G671" s="5">
        <v>85</v>
      </c>
      <c r="H671" s="6">
        <v>80</v>
      </c>
      <c r="I671" s="5">
        <f>SUM(F671:H671)</f>
        <v>224</v>
      </c>
      <c r="J671" s="7">
        <f>AVERAGE(F671:H671)</f>
        <v>74.666666666666671</v>
      </c>
      <c r="K671" s="8">
        <f>I671/300</f>
        <v>0.7466666666666667</v>
      </c>
      <c r="L671" s="5">
        <f>_xlfn.RANK.EQ(J671,$J$2:$J$1001,0)</f>
        <v>325</v>
      </c>
    </row>
    <row r="672" spans="1:12" x14ac:dyDescent="0.3">
      <c r="A672" s="5" t="s">
        <v>8</v>
      </c>
      <c r="B672" s="5" t="s">
        <v>9</v>
      </c>
      <c r="C672" s="5" t="s">
        <v>22</v>
      </c>
      <c r="D672" s="5" t="s">
        <v>20</v>
      </c>
      <c r="E672" s="5" t="s">
        <v>15</v>
      </c>
      <c r="F672" s="5">
        <v>67</v>
      </c>
      <c r="G672" s="5">
        <v>78</v>
      </c>
      <c r="H672" s="6">
        <v>79</v>
      </c>
      <c r="I672" s="5">
        <f>SUM(F672:H672)</f>
        <v>224</v>
      </c>
      <c r="J672" s="7">
        <f>AVERAGE(F672:H672)</f>
        <v>74.666666666666671</v>
      </c>
      <c r="K672" s="8">
        <f>I672/300</f>
        <v>0.7466666666666667</v>
      </c>
      <c r="L672" s="5">
        <f>_xlfn.RANK.EQ(J672,$J$2:$J$1001,0)</f>
        <v>325</v>
      </c>
    </row>
    <row r="673" spans="1:12" x14ac:dyDescent="0.3">
      <c r="A673" s="5" t="s">
        <v>8</v>
      </c>
      <c r="B673" s="5" t="s">
        <v>18</v>
      </c>
      <c r="C673" s="5" t="s">
        <v>22</v>
      </c>
      <c r="D673" s="5" t="s">
        <v>11</v>
      </c>
      <c r="E673" s="5" t="s">
        <v>15</v>
      </c>
      <c r="F673" s="5">
        <v>68</v>
      </c>
      <c r="G673" s="5">
        <v>80</v>
      </c>
      <c r="H673" s="6">
        <v>76</v>
      </c>
      <c r="I673" s="5">
        <f>SUM(F673:H673)</f>
        <v>224</v>
      </c>
      <c r="J673" s="7">
        <f>AVERAGE(F673:H673)</f>
        <v>74.666666666666671</v>
      </c>
      <c r="K673" s="8">
        <f>I673/300</f>
        <v>0.7466666666666667</v>
      </c>
      <c r="L673" s="5">
        <f>_xlfn.RANK.EQ(J673,$J$2:$J$1001,0)</f>
        <v>325</v>
      </c>
    </row>
    <row r="674" spans="1:12" x14ac:dyDescent="0.3">
      <c r="A674" s="5" t="s">
        <v>17</v>
      </c>
      <c r="B674" s="5" t="s">
        <v>13</v>
      </c>
      <c r="C674" s="5" t="s">
        <v>14</v>
      </c>
      <c r="D674" s="5" t="s">
        <v>20</v>
      </c>
      <c r="E674" s="5" t="s">
        <v>12</v>
      </c>
      <c r="F674" s="5">
        <v>74</v>
      </c>
      <c r="G674" s="5">
        <v>77</v>
      </c>
      <c r="H674" s="6">
        <v>73</v>
      </c>
      <c r="I674" s="5">
        <f>SUM(F674:H674)</f>
        <v>224</v>
      </c>
      <c r="J674" s="7">
        <f>AVERAGE(F674:H674)</f>
        <v>74.666666666666671</v>
      </c>
      <c r="K674" s="8">
        <f>I674/300</f>
        <v>0.7466666666666667</v>
      </c>
      <c r="L674" s="5">
        <f>_xlfn.RANK.EQ(J674,$J$2:$J$1001,0)</f>
        <v>325</v>
      </c>
    </row>
    <row r="675" spans="1:12" x14ac:dyDescent="0.3">
      <c r="A675" s="5" t="s">
        <v>8</v>
      </c>
      <c r="B675" s="5" t="s">
        <v>21</v>
      </c>
      <c r="C675" s="5" t="s">
        <v>22</v>
      </c>
      <c r="D675" s="5" t="s">
        <v>11</v>
      </c>
      <c r="E675" s="5" t="s">
        <v>15</v>
      </c>
      <c r="F675" s="5">
        <v>69</v>
      </c>
      <c r="G675" s="5">
        <v>77</v>
      </c>
      <c r="H675" s="6">
        <v>78</v>
      </c>
      <c r="I675" s="5">
        <f>SUM(F675:H675)</f>
        <v>224</v>
      </c>
      <c r="J675" s="7">
        <f>AVERAGE(F675:H675)</f>
        <v>74.666666666666671</v>
      </c>
      <c r="K675" s="8">
        <f>I675/300</f>
        <v>0.7466666666666667</v>
      </c>
      <c r="L675" s="5">
        <f>_xlfn.RANK.EQ(J675,$J$2:$J$1001,0)</f>
        <v>325</v>
      </c>
    </row>
    <row r="676" spans="1:12" x14ac:dyDescent="0.3">
      <c r="A676" s="5" t="s">
        <v>17</v>
      </c>
      <c r="B676" s="5" t="s">
        <v>21</v>
      </c>
      <c r="C676" s="5" t="s">
        <v>19</v>
      </c>
      <c r="D676" s="5" t="s">
        <v>11</v>
      </c>
      <c r="E676" s="5" t="s">
        <v>12</v>
      </c>
      <c r="F676" s="5">
        <v>80</v>
      </c>
      <c r="G676" s="5">
        <v>75</v>
      </c>
      <c r="H676" s="6">
        <v>69</v>
      </c>
      <c r="I676" s="5">
        <f>SUM(F676:H676)</f>
        <v>224</v>
      </c>
      <c r="J676" s="7">
        <f>AVERAGE(F676:H676)</f>
        <v>74.666666666666671</v>
      </c>
      <c r="K676" s="8">
        <f>I676/300</f>
        <v>0.7466666666666667</v>
      </c>
      <c r="L676" s="5">
        <f>_xlfn.RANK.EQ(J676,$J$2:$J$1001,0)</f>
        <v>325</v>
      </c>
    </row>
    <row r="677" spans="1:12" x14ac:dyDescent="0.3">
      <c r="A677" s="5" t="s">
        <v>17</v>
      </c>
      <c r="B677" s="5" t="s">
        <v>24</v>
      </c>
      <c r="C677" s="5" t="s">
        <v>19</v>
      </c>
      <c r="D677" s="5" t="s">
        <v>20</v>
      </c>
      <c r="E677" s="5" t="s">
        <v>15</v>
      </c>
      <c r="F677" s="5">
        <v>78</v>
      </c>
      <c r="G677" s="5">
        <v>74</v>
      </c>
      <c r="H677" s="6">
        <v>72</v>
      </c>
      <c r="I677" s="5">
        <f>SUM(F677:H677)</f>
        <v>224</v>
      </c>
      <c r="J677" s="7">
        <f>AVERAGE(F677:H677)</f>
        <v>74.666666666666671</v>
      </c>
      <c r="K677" s="8">
        <f>I677/300</f>
        <v>0.7466666666666667</v>
      </c>
      <c r="L677" s="5">
        <f>_xlfn.RANK.EQ(J677,$J$2:$J$1001,0)</f>
        <v>325</v>
      </c>
    </row>
    <row r="678" spans="1:12" x14ac:dyDescent="0.3">
      <c r="A678" s="5" t="s">
        <v>17</v>
      </c>
      <c r="B678" s="5" t="s">
        <v>21</v>
      </c>
      <c r="C678" s="5" t="s">
        <v>10</v>
      </c>
      <c r="D678" s="5" t="s">
        <v>20</v>
      </c>
      <c r="E678" s="5" t="s">
        <v>15</v>
      </c>
      <c r="F678" s="5">
        <v>74</v>
      </c>
      <c r="G678" s="5">
        <v>71</v>
      </c>
      <c r="H678" s="6">
        <v>80</v>
      </c>
      <c r="I678" s="5">
        <f>SUM(F678:H678)</f>
        <v>225</v>
      </c>
      <c r="J678" s="7">
        <f>AVERAGE(F678:H678)</f>
        <v>75</v>
      </c>
      <c r="K678" s="8">
        <f>I678/300</f>
        <v>0.75</v>
      </c>
      <c r="L678" s="5">
        <f>_xlfn.RANK.EQ(J678,$J$2:$J$1001,0)</f>
        <v>314</v>
      </c>
    </row>
    <row r="679" spans="1:12" x14ac:dyDescent="0.3">
      <c r="A679" s="5" t="s">
        <v>17</v>
      </c>
      <c r="B679" s="5" t="s">
        <v>24</v>
      </c>
      <c r="C679" s="5" t="s">
        <v>10</v>
      </c>
      <c r="D679" s="5" t="s">
        <v>20</v>
      </c>
      <c r="E679" s="5" t="s">
        <v>15</v>
      </c>
      <c r="F679" s="5">
        <v>79</v>
      </c>
      <c r="G679" s="5">
        <v>74</v>
      </c>
      <c r="H679" s="6">
        <v>72</v>
      </c>
      <c r="I679" s="5">
        <f>SUM(F679:H679)</f>
        <v>225</v>
      </c>
      <c r="J679" s="7">
        <f>AVERAGE(F679:H679)</f>
        <v>75</v>
      </c>
      <c r="K679" s="8">
        <f>I679/300</f>
        <v>0.75</v>
      </c>
      <c r="L679" s="5">
        <f>_xlfn.RANK.EQ(J679,$J$2:$J$1001,0)</f>
        <v>314</v>
      </c>
    </row>
    <row r="680" spans="1:12" x14ac:dyDescent="0.3">
      <c r="A680" s="5" t="s">
        <v>8</v>
      </c>
      <c r="B680" s="5" t="s">
        <v>13</v>
      </c>
      <c r="C680" s="5" t="s">
        <v>19</v>
      </c>
      <c r="D680" s="5" t="s">
        <v>11</v>
      </c>
      <c r="E680" s="5" t="s">
        <v>15</v>
      </c>
      <c r="F680" s="5">
        <v>71</v>
      </c>
      <c r="G680" s="5">
        <v>77</v>
      </c>
      <c r="H680" s="6">
        <v>77</v>
      </c>
      <c r="I680" s="5">
        <f>SUM(F680:H680)</f>
        <v>225</v>
      </c>
      <c r="J680" s="7">
        <f>AVERAGE(F680:H680)</f>
        <v>75</v>
      </c>
      <c r="K680" s="8">
        <f>I680/300</f>
        <v>0.75</v>
      </c>
      <c r="L680" s="5">
        <f>_xlfn.RANK.EQ(J680,$J$2:$J$1001,0)</f>
        <v>314</v>
      </c>
    </row>
    <row r="681" spans="1:12" x14ac:dyDescent="0.3">
      <c r="A681" s="5" t="s">
        <v>8</v>
      </c>
      <c r="B681" s="5" t="s">
        <v>9</v>
      </c>
      <c r="C681" s="5" t="s">
        <v>19</v>
      </c>
      <c r="D681" s="5" t="s">
        <v>20</v>
      </c>
      <c r="E681" s="5" t="s">
        <v>15</v>
      </c>
      <c r="F681" s="5">
        <v>68</v>
      </c>
      <c r="G681" s="5">
        <v>77</v>
      </c>
      <c r="H681" s="6">
        <v>80</v>
      </c>
      <c r="I681" s="5">
        <f>SUM(F681:H681)</f>
        <v>225</v>
      </c>
      <c r="J681" s="7">
        <f>AVERAGE(F681:H681)</f>
        <v>75</v>
      </c>
      <c r="K681" s="8">
        <f>I681/300</f>
        <v>0.75</v>
      </c>
      <c r="L681" s="5">
        <f>_xlfn.RANK.EQ(J681,$J$2:$J$1001,0)</f>
        <v>314</v>
      </c>
    </row>
    <row r="682" spans="1:12" x14ac:dyDescent="0.3">
      <c r="A682" s="5" t="s">
        <v>17</v>
      </c>
      <c r="B682" s="5" t="s">
        <v>21</v>
      </c>
      <c r="C682" s="5" t="s">
        <v>19</v>
      </c>
      <c r="D682" s="5" t="s">
        <v>11</v>
      </c>
      <c r="E682" s="5" t="s">
        <v>12</v>
      </c>
      <c r="F682" s="5">
        <v>81</v>
      </c>
      <c r="G682" s="5">
        <v>71</v>
      </c>
      <c r="H682" s="6">
        <v>73</v>
      </c>
      <c r="I682" s="5">
        <f>SUM(F682:H682)</f>
        <v>225</v>
      </c>
      <c r="J682" s="7">
        <f>AVERAGE(F682:H682)</f>
        <v>75</v>
      </c>
      <c r="K682" s="8">
        <f>I682/300</f>
        <v>0.75</v>
      </c>
      <c r="L682" s="5">
        <f>_xlfn.RANK.EQ(J682,$J$2:$J$1001,0)</f>
        <v>314</v>
      </c>
    </row>
    <row r="683" spans="1:12" x14ac:dyDescent="0.3">
      <c r="A683" s="5" t="s">
        <v>17</v>
      </c>
      <c r="B683" s="5" t="s">
        <v>21</v>
      </c>
      <c r="C683" s="5" t="s">
        <v>10</v>
      </c>
      <c r="D683" s="5" t="s">
        <v>11</v>
      </c>
      <c r="E683" s="5" t="s">
        <v>12</v>
      </c>
      <c r="F683" s="5">
        <v>80</v>
      </c>
      <c r="G683" s="5">
        <v>73</v>
      </c>
      <c r="H683" s="6">
        <v>72</v>
      </c>
      <c r="I683" s="5">
        <f>SUM(F683:H683)</f>
        <v>225</v>
      </c>
      <c r="J683" s="7">
        <f>AVERAGE(F683:H683)</f>
        <v>75</v>
      </c>
      <c r="K683" s="8">
        <f>I683/300</f>
        <v>0.75</v>
      </c>
      <c r="L683" s="5">
        <f>_xlfn.RANK.EQ(J683,$J$2:$J$1001,0)</f>
        <v>314</v>
      </c>
    </row>
    <row r="684" spans="1:12" x14ac:dyDescent="0.3">
      <c r="A684" s="5" t="s">
        <v>17</v>
      </c>
      <c r="B684" s="5" t="s">
        <v>21</v>
      </c>
      <c r="C684" s="5" t="s">
        <v>19</v>
      </c>
      <c r="D684" s="5" t="s">
        <v>11</v>
      </c>
      <c r="E684" s="5" t="s">
        <v>12</v>
      </c>
      <c r="F684" s="5">
        <v>72</v>
      </c>
      <c r="G684" s="5">
        <v>79</v>
      </c>
      <c r="H684" s="6">
        <v>74</v>
      </c>
      <c r="I684" s="5">
        <f>SUM(F684:H684)</f>
        <v>225</v>
      </c>
      <c r="J684" s="7">
        <f>AVERAGE(F684:H684)</f>
        <v>75</v>
      </c>
      <c r="K684" s="8">
        <f>I684/300</f>
        <v>0.75</v>
      </c>
      <c r="L684" s="5">
        <f>_xlfn.RANK.EQ(J684,$J$2:$J$1001,0)</f>
        <v>314</v>
      </c>
    </row>
    <row r="685" spans="1:12" x14ac:dyDescent="0.3">
      <c r="A685" s="5" t="s">
        <v>8</v>
      </c>
      <c r="B685" s="5" t="s">
        <v>13</v>
      </c>
      <c r="C685" s="5" t="s">
        <v>10</v>
      </c>
      <c r="D685" s="5" t="s">
        <v>11</v>
      </c>
      <c r="E685" s="5" t="s">
        <v>12</v>
      </c>
      <c r="F685" s="5">
        <v>65</v>
      </c>
      <c r="G685" s="5">
        <v>79</v>
      </c>
      <c r="H685" s="6">
        <v>81</v>
      </c>
      <c r="I685" s="5">
        <f>SUM(F685:H685)</f>
        <v>225</v>
      </c>
      <c r="J685" s="7">
        <f>AVERAGE(F685:H685)</f>
        <v>75</v>
      </c>
      <c r="K685" s="8">
        <f>I685/300</f>
        <v>0.75</v>
      </c>
      <c r="L685" s="5">
        <f>_xlfn.RANK.EQ(J685,$J$2:$J$1001,0)</f>
        <v>314</v>
      </c>
    </row>
    <row r="686" spans="1:12" x14ac:dyDescent="0.3">
      <c r="A686" s="5" t="s">
        <v>8</v>
      </c>
      <c r="B686" s="5" t="s">
        <v>21</v>
      </c>
      <c r="C686" s="5" t="s">
        <v>23</v>
      </c>
      <c r="D686" s="5" t="s">
        <v>11</v>
      </c>
      <c r="E686" s="5" t="s">
        <v>15</v>
      </c>
      <c r="F686" s="5">
        <v>65</v>
      </c>
      <c r="G686" s="5">
        <v>78</v>
      </c>
      <c r="H686" s="6">
        <v>82</v>
      </c>
      <c r="I686" s="5">
        <f>SUM(F686:H686)</f>
        <v>225</v>
      </c>
      <c r="J686" s="7">
        <f>AVERAGE(F686:H686)</f>
        <v>75</v>
      </c>
      <c r="K686" s="8">
        <f>I686/300</f>
        <v>0.75</v>
      </c>
      <c r="L686" s="5">
        <f>_xlfn.RANK.EQ(J686,$J$2:$J$1001,0)</f>
        <v>314</v>
      </c>
    </row>
    <row r="687" spans="1:12" x14ac:dyDescent="0.3">
      <c r="A687" s="5" t="s">
        <v>8</v>
      </c>
      <c r="B687" s="5" t="s">
        <v>13</v>
      </c>
      <c r="C687" s="5" t="s">
        <v>16</v>
      </c>
      <c r="D687" s="5" t="s">
        <v>11</v>
      </c>
      <c r="E687" s="5" t="s">
        <v>12</v>
      </c>
      <c r="F687" s="5">
        <v>73</v>
      </c>
      <c r="G687" s="5">
        <v>78</v>
      </c>
      <c r="H687" s="6">
        <v>74</v>
      </c>
      <c r="I687" s="5">
        <f>SUM(F687:H687)</f>
        <v>225</v>
      </c>
      <c r="J687" s="7">
        <f>AVERAGE(F687:H687)</f>
        <v>75</v>
      </c>
      <c r="K687" s="8">
        <f>I687/300</f>
        <v>0.75</v>
      </c>
      <c r="L687" s="5">
        <f>_xlfn.RANK.EQ(J687,$J$2:$J$1001,0)</f>
        <v>314</v>
      </c>
    </row>
    <row r="688" spans="1:12" x14ac:dyDescent="0.3">
      <c r="A688" s="5" t="s">
        <v>8</v>
      </c>
      <c r="B688" s="5" t="s">
        <v>9</v>
      </c>
      <c r="C688" s="5" t="s">
        <v>23</v>
      </c>
      <c r="D688" s="5" t="s">
        <v>11</v>
      </c>
      <c r="E688" s="5" t="s">
        <v>15</v>
      </c>
      <c r="F688" s="5">
        <v>65</v>
      </c>
      <c r="G688" s="5">
        <v>82</v>
      </c>
      <c r="H688" s="6">
        <v>78</v>
      </c>
      <c r="I688" s="5">
        <f>SUM(F688:H688)</f>
        <v>225</v>
      </c>
      <c r="J688" s="7">
        <f>AVERAGE(F688:H688)</f>
        <v>75</v>
      </c>
      <c r="K688" s="8">
        <f>I688/300</f>
        <v>0.75</v>
      </c>
      <c r="L688" s="5">
        <f>_xlfn.RANK.EQ(J688,$J$2:$J$1001,0)</f>
        <v>314</v>
      </c>
    </row>
    <row r="689" spans="1:12" x14ac:dyDescent="0.3">
      <c r="A689" s="5" t="s">
        <v>8</v>
      </c>
      <c r="B689" s="5" t="s">
        <v>21</v>
      </c>
      <c r="C689" s="5" t="s">
        <v>14</v>
      </c>
      <c r="D689" s="5" t="s">
        <v>20</v>
      </c>
      <c r="E689" s="5" t="s">
        <v>15</v>
      </c>
      <c r="F689" s="5">
        <v>70</v>
      </c>
      <c r="G689" s="5">
        <v>78</v>
      </c>
      <c r="H689" s="6">
        <v>78</v>
      </c>
      <c r="I689" s="5">
        <f>SUM(F689:H689)</f>
        <v>226</v>
      </c>
      <c r="J689" s="7">
        <f>AVERAGE(F689:H689)</f>
        <v>75.333333333333329</v>
      </c>
      <c r="K689" s="8">
        <f>I689/300</f>
        <v>0.7533333333333333</v>
      </c>
      <c r="L689" s="5">
        <f>_xlfn.RANK.EQ(J689,$J$2:$J$1001,0)</f>
        <v>307</v>
      </c>
    </row>
    <row r="690" spans="1:12" x14ac:dyDescent="0.3">
      <c r="A690" s="5" t="s">
        <v>17</v>
      </c>
      <c r="B690" s="5" t="s">
        <v>24</v>
      </c>
      <c r="C690" s="5" t="s">
        <v>22</v>
      </c>
      <c r="D690" s="5" t="s">
        <v>11</v>
      </c>
      <c r="E690" s="5" t="s">
        <v>12</v>
      </c>
      <c r="F690" s="5">
        <v>84</v>
      </c>
      <c r="G690" s="5">
        <v>73</v>
      </c>
      <c r="H690" s="6">
        <v>69</v>
      </c>
      <c r="I690" s="5">
        <f>SUM(F690:H690)</f>
        <v>226</v>
      </c>
      <c r="J690" s="7">
        <f>AVERAGE(F690:H690)</f>
        <v>75.333333333333329</v>
      </c>
      <c r="K690" s="8">
        <f>I690/300</f>
        <v>0.7533333333333333</v>
      </c>
      <c r="L690" s="5">
        <f>_xlfn.RANK.EQ(J690,$J$2:$J$1001,0)</f>
        <v>307</v>
      </c>
    </row>
    <row r="691" spans="1:12" x14ac:dyDescent="0.3">
      <c r="A691" s="5" t="s">
        <v>17</v>
      </c>
      <c r="B691" s="5" t="s">
        <v>9</v>
      </c>
      <c r="C691" s="5" t="s">
        <v>19</v>
      </c>
      <c r="D691" s="5" t="s">
        <v>11</v>
      </c>
      <c r="E691" s="5" t="s">
        <v>12</v>
      </c>
      <c r="F691" s="5">
        <v>81</v>
      </c>
      <c r="G691" s="5">
        <v>73</v>
      </c>
      <c r="H691" s="6">
        <v>72</v>
      </c>
      <c r="I691" s="5">
        <f>SUM(F691:H691)</f>
        <v>226</v>
      </c>
      <c r="J691" s="7">
        <f>AVERAGE(F691:H691)</f>
        <v>75.333333333333329</v>
      </c>
      <c r="K691" s="8">
        <f>I691/300</f>
        <v>0.7533333333333333</v>
      </c>
      <c r="L691" s="5">
        <f>_xlfn.RANK.EQ(J691,$J$2:$J$1001,0)</f>
        <v>307</v>
      </c>
    </row>
    <row r="692" spans="1:12" x14ac:dyDescent="0.3">
      <c r="A692" s="5" t="s">
        <v>8</v>
      </c>
      <c r="B692" s="5" t="s">
        <v>18</v>
      </c>
      <c r="C692" s="5" t="s">
        <v>19</v>
      </c>
      <c r="D692" s="5" t="s">
        <v>20</v>
      </c>
      <c r="E692" s="5" t="s">
        <v>12</v>
      </c>
      <c r="F692" s="5">
        <v>65</v>
      </c>
      <c r="G692" s="5">
        <v>85</v>
      </c>
      <c r="H692" s="6">
        <v>76</v>
      </c>
      <c r="I692" s="5">
        <f>SUM(F692:H692)</f>
        <v>226</v>
      </c>
      <c r="J692" s="7">
        <f>AVERAGE(F692:H692)</f>
        <v>75.333333333333329</v>
      </c>
      <c r="K692" s="8">
        <f>I692/300</f>
        <v>0.7533333333333333</v>
      </c>
      <c r="L692" s="5">
        <f>_xlfn.RANK.EQ(J692,$J$2:$J$1001,0)</f>
        <v>307</v>
      </c>
    </row>
    <row r="693" spans="1:12" x14ac:dyDescent="0.3">
      <c r="A693" s="5" t="s">
        <v>8</v>
      </c>
      <c r="B693" s="5" t="s">
        <v>24</v>
      </c>
      <c r="C693" s="5" t="s">
        <v>22</v>
      </c>
      <c r="D693" s="5" t="s">
        <v>11</v>
      </c>
      <c r="E693" s="5" t="s">
        <v>12</v>
      </c>
      <c r="F693" s="5">
        <v>74</v>
      </c>
      <c r="G693" s="5">
        <v>81</v>
      </c>
      <c r="H693" s="6">
        <v>71</v>
      </c>
      <c r="I693" s="5">
        <f>SUM(F693:H693)</f>
        <v>226</v>
      </c>
      <c r="J693" s="7">
        <f>AVERAGE(F693:H693)</f>
        <v>75.333333333333329</v>
      </c>
      <c r="K693" s="8">
        <f>I693/300</f>
        <v>0.7533333333333333</v>
      </c>
      <c r="L693" s="5">
        <f>_xlfn.RANK.EQ(J693,$J$2:$J$1001,0)</f>
        <v>307</v>
      </c>
    </row>
    <row r="694" spans="1:12" x14ac:dyDescent="0.3">
      <c r="A694" s="5" t="s">
        <v>8</v>
      </c>
      <c r="B694" s="5" t="s">
        <v>13</v>
      </c>
      <c r="C694" s="5" t="s">
        <v>22</v>
      </c>
      <c r="D694" s="5" t="s">
        <v>11</v>
      </c>
      <c r="E694" s="5" t="s">
        <v>12</v>
      </c>
      <c r="F694" s="5">
        <v>76</v>
      </c>
      <c r="G694" s="5">
        <v>76</v>
      </c>
      <c r="H694" s="6">
        <v>74</v>
      </c>
      <c r="I694" s="5">
        <f>SUM(F694:H694)</f>
        <v>226</v>
      </c>
      <c r="J694" s="7">
        <f>AVERAGE(F694:H694)</f>
        <v>75.333333333333329</v>
      </c>
      <c r="K694" s="8">
        <f>I694/300</f>
        <v>0.7533333333333333</v>
      </c>
      <c r="L694" s="5">
        <f>_xlfn.RANK.EQ(J694,$J$2:$J$1001,0)</f>
        <v>307</v>
      </c>
    </row>
    <row r="695" spans="1:12" x14ac:dyDescent="0.3">
      <c r="A695" s="5" t="s">
        <v>17</v>
      </c>
      <c r="B695" s="5" t="s">
        <v>24</v>
      </c>
      <c r="C695" s="5" t="s">
        <v>14</v>
      </c>
      <c r="D695" s="5" t="s">
        <v>11</v>
      </c>
      <c r="E695" s="5" t="s">
        <v>15</v>
      </c>
      <c r="F695" s="5">
        <v>81</v>
      </c>
      <c r="G695" s="5">
        <v>74</v>
      </c>
      <c r="H695" s="6">
        <v>71</v>
      </c>
      <c r="I695" s="5">
        <f>SUM(F695:H695)</f>
        <v>226</v>
      </c>
      <c r="J695" s="7">
        <f>AVERAGE(F695:H695)</f>
        <v>75.333333333333329</v>
      </c>
      <c r="K695" s="8">
        <f>I695/300</f>
        <v>0.7533333333333333</v>
      </c>
      <c r="L695" s="5">
        <f>_xlfn.RANK.EQ(J695,$J$2:$J$1001,0)</f>
        <v>307</v>
      </c>
    </row>
    <row r="696" spans="1:12" x14ac:dyDescent="0.3">
      <c r="A696" s="5" t="s">
        <v>8</v>
      </c>
      <c r="B696" s="5" t="s">
        <v>13</v>
      </c>
      <c r="C696" s="5" t="s">
        <v>16</v>
      </c>
      <c r="D696" s="5" t="s">
        <v>20</v>
      </c>
      <c r="E696" s="5" t="s">
        <v>15</v>
      </c>
      <c r="F696" s="5">
        <v>65</v>
      </c>
      <c r="G696" s="5">
        <v>81</v>
      </c>
      <c r="H696" s="6">
        <v>81</v>
      </c>
      <c r="I696" s="5">
        <f>SUM(F696:H696)</f>
        <v>227</v>
      </c>
      <c r="J696" s="7">
        <f>AVERAGE(F696:H696)</f>
        <v>75.666666666666671</v>
      </c>
      <c r="K696" s="8">
        <f>I696/300</f>
        <v>0.75666666666666671</v>
      </c>
      <c r="L696" s="5">
        <f>_xlfn.RANK.EQ(J696,$J$2:$J$1001,0)</f>
        <v>297</v>
      </c>
    </row>
    <row r="697" spans="1:12" x14ac:dyDescent="0.3">
      <c r="A697" s="5" t="s">
        <v>8</v>
      </c>
      <c r="B697" s="5" t="s">
        <v>13</v>
      </c>
      <c r="C697" s="5" t="s">
        <v>22</v>
      </c>
      <c r="D697" s="5" t="s">
        <v>11</v>
      </c>
      <c r="E697" s="5" t="s">
        <v>12</v>
      </c>
      <c r="F697" s="5">
        <v>72</v>
      </c>
      <c r="G697" s="5">
        <v>80</v>
      </c>
      <c r="H697" s="6">
        <v>75</v>
      </c>
      <c r="I697" s="5">
        <f>SUM(F697:H697)</f>
        <v>227</v>
      </c>
      <c r="J697" s="7">
        <f>AVERAGE(F697:H697)</f>
        <v>75.666666666666671</v>
      </c>
      <c r="K697" s="8">
        <f>I697/300</f>
        <v>0.75666666666666671</v>
      </c>
      <c r="L697" s="5">
        <f>_xlfn.RANK.EQ(J697,$J$2:$J$1001,0)</f>
        <v>297</v>
      </c>
    </row>
    <row r="698" spans="1:12" x14ac:dyDescent="0.3">
      <c r="A698" s="5" t="s">
        <v>8</v>
      </c>
      <c r="B698" s="5" t="s">
        <v>13</v>
      </c>
      <c r="C698" s="5" t="s">
        <v>14</v>
      </c>
      <c r="D698" s="5" t="s">
        <v>11</v>
      </c>
      <c r="E698" s="5" t="s">
        <v>15</v>
      </c>
      <c r="F698" s="5">
        <v>67</v>
      </c>
      <c r="G698" s="5">
        <v>81</v>
      </c>
      <c r="H698" s="6">
        <v>79</v>
      </c>
      <c r="I698" s="5">
        <f>SUM(F698:H698)</f>
        <v>227</v>
      </c>
      <c r="J698" s="7">
        <f>AVERAGE(F698:H698)</f>
        <v>75.666666666666671</v>
      </c>
      <c r="K698" s="8">
        <f>I698/300</f>
        <v>0.75666666666666671</v>
      </c>
      <c r="L698" s="5">
        <f>_xlfn.RANK.EQ(J698,$J$2:$J$1001,0)</f>
        <v>297</v>
      </c>
    </row>
    <row r="699" spans="1:12" x14ac:dyDescent="0.3">
      <c r="A699" s="5" t="s">
        <v>8</v>
      </c>
      <c r="B699" s="5" t="s">
        <v>9</v>
      </c>
      <c r="C699" s="5" t="s">
        <v>10</v>
      </c>
      <c r="D699" s="5" t="s">
        <v>11</v>
      </c>
      <c r="E699" s="5" t="s">
        <v>15</v>
      </c>
      <c r="F699" s="5">
        <v>65</v>
      </c>
      <c r="G699" s="5">
        <v>81</v>
      </c>
      <c r="H699" s="6">
        <v>81</v>
      </c>
      <c r="I699" s="5">
        <f>SUM(F699:H699)</f>
        <v>227</v>
      </c>
      <c r="J699" s="7">
        <f>AVERAGE(F699:H699)</f>
        <v>75.666666666666671</v>
      </c>
      <c r="K699" s="8">
        <f>I699/300</f>
        <v>0.75666666666666671</v>
      </c>
      <c r="L699" s="5">
        <f>_xlfn.RANK.EQ(J699,$J$2:$J$1001,0)</f>
        <v>297</v>
      </c>
    </row>
    <row r="700" spans="1:12" x14ac:dyDescent="0.3">
      <c r="A700" s="5" t="s">
        <v>8</v>
      </c>
      <c r="B700" s="5" t="s">
        <v>24</v>
      </c>
      <c r="C700" s="5" t="s">
        <v>14</v>
      </c>
      <c r="D700" s="5" t="s">
        <v>11</v>
      </c>
      <c r="E700" s="5" t="s">
        <v>15</v>
      </c>
      <c r="F700" s="5">
        <v>73</v>
      </c>
      <c r="G700" s="5">
        <v>78</v>
      </c>
      <c r="H700" s="6">
        <v>76</v>
      </c>
      <c r="I700" s="5">
        <f>SUM(F700:H700)</f>
        <v>227</v>
      </c>
      <c r="J700" s="7">
        <f>AVERAGE(F700:H700)</f>
        <v>75.666666666666671</v>
      </c>
      <c r="K700" s="8">
        <f>I700/300</f>
        <v>0.75666666666666671</v>
      </c>
      <c r="L700" s="5">
        <f>_xlfn.RANK.EQ(J700,$J$2:$J$1001,0)</f>
        <v>297</v>
      </c>
    </row>
    <row r="701" spans="1:12" x14ac:dyDescent="0.3">
      <c r="A701" s="5" t="s">
        <v>8</v>
      </c>
      <c r="B701" s="5" t="s">
        <v>24</v>
      </c>
      <c r="C701" s="5" t="s">
        <v>19</v>
      </c>
      <c r="D701" s="5" t="s">
        <v>20</v>
      </c>
      <c r="E701" s="5" t="s">
        <v>12</v>
      </c>
      <c r="F701" s="5">
        <v>73</v>
      </c>
      <c r="G701" s="5">
        <v>76</v>
      </c>
      <c r="H701" s="6">
        <v>78</v>
      </c>
      <c r="I701" s="5">
        <f>SUM(F701:H701)</f>
        <v>227</v>
      </c>
      <c r="J701" s="7">
        <f>AVERAGE(F701:H701)</f>
        <v>75.666666666666671</v>
      </c>
      <c r="K701" s="8">
        <f>I701/300</f>
        <v>0.75666666666666671</v>
      </c>
      <c r="L701" s="5">
        <f>_xlfn.RANK.EQ(J701,$J$2:$J$1001,0)</f>
        <v>297</v>
      </c>
    </row>
    <row r="702" spans="1:12" x14ac:dyDescent="0.3">
      <c r="A702" s="5" t="s">
        <v>8</v>
      </c>
      <c r="B702" s="5" t="s">
        <v>21</v>
      </c>
      <c r="C702" s="5" t="s">
        <v>19</v>
      </c>
      <c r="D702" s="5" t="s">
        <v>11</v>
      </c>
      <c r="E702" s="5" t="s">
        <v>12</v>
      </c>
      <c r="F702" s="5">
        <v>77</v>
      </c>
      <c r="G702" s="5">
        <v>77</v>
      </c>
      <c r="H702" s="6">
        <v>73</v>
      </c>
      <c r="I702" s="5">
        <f>SUM(F702:H702)</f>
        <v>227</v>
      </c>
      <c r="J702" s="7">
        <f>AVERAGE(F702:H702)</f>
        <v>75.666666666666671</v>
      </c>
      <c r="K702" s="8">
        <f>I702/300</f>
        <v>0.75666666666666671</v>
      </c>
      <c r="L702" s="5">
        <f>_xlfn.RANK.EQ(J702,$J$2:$J$1001,0)</f>
        <v>297</v>
      </c>
    </row>
    <row r="703" spans="1:12" x14ac:dyDescent="0.3">
      <c r="A703" s="5" t="s">
        <v>8</v>
      </c>
      <c r="B703" s="5" t="s">
        <v>13</v>
      </c>
      <c r="C703" s="5" t="s">
        <v>14</v>
      </c>
      <c r="D703" s="5" t="s">
        <v>11</v>
      </c>
      <c r="E703" s="5" t="s">
        <v>12</v>
      </c>
      <c r="F703" s="5">
        <v>73</v>
      </c>
      <c r="G703" s="5">
        <v>76</v>
      </c>
      <c r="H703" s="6">
        <v>78</v>
      </c>
      <c r="I703" s="5">
        <f>SUM(F703:H703)</f>
        <v>227</v>
      </c>
      <c r="J703" s="7">
        <f>AVERAGE(F703:H703)</f>
        <v>75.666666666666671</v>
      </c>
      <c r="K703" s="8">
        <f>I703/300</f>
        <v>0.75666666666666671</v>
      </c>
      <c r="L703" s="5">
        <f>_xlfn.RANK.EQ(J703,$J$2:$J$1001,0)</f>
        <v>297</v>
      </c>
    </row>
    <row r="704" spans="1:12" x14ac:dyDescent="0.3">
      <c r="A704" s="5" t="s">
        <v>17</v>
      </c>
      <c r="B704" s="5" t="s">
        <v>9</v>
      </c>
      <c r="C704" s="5" t="s">
        <v>14</v>
      </c>
      <c r="D704" s="5" t="s">
        <v>20</v>
      </c>
      <c r="E704" s="5" t="s">
        <v>15</v>
      </c>
      <c r="F704" s="5">
        <v>74</v>
      </c>
      <c r="G704" s="5">
        <v>77</v>
      </c>
      <c r="H704" s="6">
        <v>76</v>
      </c>
      <c r="I704" s="5">
        <f>SUM(F704:H704)</f>
        <v>227</v>
      </c>
      <c r="J704" s="7">
        <f>AVERAGE(F704:H704)</f>
        <v>75.666666666666671</v>
      </c>
      <c r="K704" s="8">
        <f>I704/300</f>
        <v>0.75666666666666671</v>
      </c>
      <c r="L704" s="5">
        <f>_xlfn.RANK.EQ(J704,$J$2:$J$1001,0)</f>
        <v>297</v>
      </c>
    </row>
    <row r="705" spans="1:12" x14ac:dyDescent="0.3">
      <c r="A705" s="5" t="s">
        <v>17</v>
      </c>
      <c r="B705" s="5" t="s">
        <v>13</v>
      </c>
      <c r="C705" s="5" t="s">
        <v>22</v>
      </c>
      <c r="D705" s="5" t="s">
        <v>11</v>
      </c>
      <c r="E705" s="5" t="s">
        <v>12</v>
      </c>
      <c r="F705" s="5">
        <v>75</v>
      </c>
      <c r="G705" s="5">
        <v>81</v>
      </c>
      <c r="H705" s="6">
        <v>71</v>
      </c>
      <c r="I705" s="5">
        <f>SUM(F705:H705)</f>
        <v>227</v>
      </c>
      <c r="J705" s="7">
        <f>AVERAGE(F705:H705)</f>
        <v>75.666666666666671</v>
      </c>
      <c r="K705" s="8">
        <f>I705/300</f>
        <v>0.75666666666666671</v>
      </c>
      <c r="L705" s="5">
        <f>_xlfn.RANK.EQ(J705,$J$2:$J$1001,0)</f>
        <v>297</v>
      </c>
    </row>
    <row r="706" spans="1:12" x14ac:dyDescent="0.3">
      <c r="A706" s="5" t="s">
        <v>17</v>
      </c>
      <c r="B706" s="5" t="s">
        <v>21</v>
      </c>
      <c r="C706" s="5" t="s">
        <v>10</v>
      </c>
      <c r="D706" s="5" t="s">
        <v>20</v>
      </c>
      <c r="E706" s="5" t="s">
        <v>15</v>
      </c>
      <c r="F706" s="5">
        <v>74</v>
      </c>
      <c r="G706" s="5">
        <v>79</v>
      </c>
      <c r="H706" s="6">
        <v>75</v>
      </c>
      <c r="I706" s="5">
        <f>SUM(F706:H706)</f>
        <v>228</v>
      </c>
      <c r="J706" s="7">
        <f>AVERAGE(F706:H706)</f>
        <v>76</v>
      </c>
      <c r="K706" s="8">
        <f>I706/300</f>
        <v>0.76</v>
      </c>
      <c r="L706" s="5">
        <f>_xlfn.RANK.EQ(J706,$J$2:$J$1001,0)</f>
        <v>288</v>
      </c>
    </row>
    <row r="707" spans="1:12" x14ac:dyDescent="0.3">
      <c r="A707" s="5" t="s">
        <v>8</v>
      </c>
      <c r="B707" s="5" t="s">
        <v>21</v>
      </c>
      <c r="C707" s="5" t="s">
        <v>14</v>
      </c>
      <c r="D707" s="5" t="s">
        <v>11</v>
      </c>
      <c r="E707" s="5" t="s">
        <v>15</v>
      </c>
      <c r="F707" s="5">
        <v>74</v>
      </c>
      <c r="G707" s="5">
        <v>75</v>
      </c>
      <c r="H707" s="6">
        <v>79</v>
      </c>
      <c r="I707" s="5">
        <f>SUM(F707:H707)</f>
        <v>228</v>
      </c>
      <c r="J707" s="7">
        <f>AVERAGE(F707:H707)</f>
        <v>76</v>
      </c>
      <c r="K707" s="8">
        <f>I707/300</f>
        <v>0.76</v>
      </c>
      <c r="L707" s="5">
        <f>_xlfn.RANK.EQ(J707,$J$2:$J$1001,0)</f>
        <v>288</v>
      </c>
    </row>
    <row r="708" spans="1:12" x14ac:dyDescent="0.3">
      <c r="A708" s="5" t="s">
        <v>8</v>
      </c>
      <c r="B708" s="5" t="s">
        <v>21</v>
      </c>
      <c r="C708" s="5" t="s">
        <v>19</v>
      </c>
      <c r="D708" s="5" t="s">
        <v>11</v>
      </c>
      <c r="E708" s="5" t="s">
        <v>15</v>
      </c>
      <c r="F708" s="5">
        <v>73</v>
      </c>
      <c r="G708" s="5">
        <v>75</v>
      </c>
      <c r="H708" s="6">
        <v>80</v>
      </c>
      <c r="I708" s="5">
        <f>SUM(F708:H708)</f>
        <v>228</v>
      </c>
      <c r="J708" s="7">
        <f>AVERAGE(F708:H708)</f>
        <v>76</v>
      </c>
      <c r="K708" s="8">
        <f>I708/300</f>
        <v>0.76</v>
      </c>
      <c r="L708" s="5">
        <f>_xlfn.RANK.EQ(J708,$J$2:$J$1001,0)</f>
        <v>288</v>
      </c>
    </row>
    <row r="709" spans="1:12" x14ac:dyDescent="0.3">
      <c r="A709" s="5" t="s">
        <v>8</v>
      </c>
      <c r="B709" s="5" t="s">
        <v>21</v>
      </c>
      <c r="C709" s="5" t="s">
        <v>23</v>
      </c>
      <c r="D709" s="5" t="s">
        <v>11</v>
      </c>
      <c r="E709" s="5" t="s">
        <v>12</v>
      </c>
      <c r="F709" s="5">
        <v>65</v>
      </c>
      <c r="G709" s="5">
        <v>82</v>
      </c>
      <c r="H709" s="6">
        <v>81</v>
      </c>
      <c r="I709" s="5">
        <f>SUM(F709:H709)</f>
        <v>228</v>
      </c>
      <c r="J709" s="7">
        <f>AVERAGE(F709:H709)</f>
        <v>76</v>
      </c>
      <c r="K709" s="8">
        <f>I709/300</f>
        <v>0.76</v>
      </c>
      <c r="L709" s="5">
        <f>_xlfn.RANK.EQ(J709,$J$2:$J$1001,0)</f>
        <v>288</v>
      </c>
    </row>
    <row r="710" spans="1:12" x14ac:dyDescent="0.3">
      <c r="A710" s="5" t="s">
        <v>8</v>
      </c>
      <c r="B710" s="5" t="s">
        <v>9</v>
      </c>
      <c r="C710" s="5" t="s">
        <v>22</v>
      </c>
      <c r="D710" s="5" t="s">
        <v>20</v>
      </c>
      <c r="E710" s="5" t="s">
        <v>15</v>
      </c>
      <c r="F710" s="5">
        <v>67</v>
      </c>
      <c r="G710" s="5">
        <v>80</v>
      </c>
      <c r="H710" s="6">
        <v>81</v>
      </c>
      <c r="I710" s="5">
        <f>SUM(F710:H710)</f>
        <v>228</v>
      </c>
      <c r="J710" s="7">
        <f>AVERAGE(F710:H710)</f>
        <v>76</v>
      </c>
      <c r="K710" s="8">
        <f>I710/300</f>
        <v>0.76</v>
      </c>
      <c r="L710" s="5">
        <f>_xlfn.RANK.EQ(J710,$J$2:$J$1001,0)</f>
        <v>288</v>
      </c>
    </row>
    <row r="711" spans="1:12" x14ac:dyDescent="0.3">
      <c r="A711" s="5" t="s">
        <v>8</v>
      </c>
      <c r="B711" s="5" t="s">
        <v>13</v>
      </c>
      <c r="C711" s="5" t="s">
        <v>23</v>
      </c>
      <c r="D711" s="5" t="s">
        <v>11</v>
      </c>
      <c r="E711" s="5" t="s">
        <v>15</v>
      </c>
      <c r="F711" s="5">
        <v>70</v>
      </c>
      <c r="G711" s="5">
        <v>82</v>
      </c>
      <c r="H711" s="6">
        <v>76</v>
      </c>
      <c r="I711" s="5">
        <f>SUM(F711:H711)</f>
        <v>228</v>
      </c>
      <c r="J711" s="7">
        <f>AVERAGE(F711:H711)</f>
        <v>76</v>
      </c>
      <c r="K711" s="8">
        <f>I711/300</f>
        <v>0.76</v>
      </c>
      <c r="L711" s="5">
        <f>_xlfn.RANK.EQ(J711,$J$2:$J$1001,0)</f>
        <v>288</v>
      </c>
    </row>
    <row r="712" spans="1:12" x14ac:dyDescent="0.3">
      <c r="A712" s="5" t="s">
        <v>17</v>
      </c>
      <c r="B712" s="5" t="s">
        <v>24</v>
      </c>
      <c r="C712" s="5" t="s">
        <v>14</v>
      </c>
      <c r="D712" s="5" t="s">
        <v>11</v>
      </c>
      <c r="E712" s="5" t="s">
        <v>15</v>
      </c>
      <c r="F712" s="5">
        <v>85</v>
      </c>
      <c r="G712" s="5">
        <v>75</v>
      </c>
      <c r="H712" s="6">
        <v>68</v>
      </c>
      <c r="I712" s="5">
        <f>SUM(F712:H712)</f>
        <v>228</v>
      </c>
      <c r="J712" s="7">
        <f>AVERAGE(F712:H712)</f>
        <v>76</v>
      </c>
      <c r="K712" s="8">
        <f>I712/300</f>
        <v>0.76</v>
      </c>
      <c r="L712" s="5">
        <f>_xlfn.RANK.EQ(J712,$J$2:$J$1001,0)</f>
        <v>288</v>
      </c>
    </row>
    <row r="713" spans="1:12" x14ac:dyDescent="0.3">
      <c r="A713" s="5" t="s">
        <v>17</v>
      </c>
      <c r="B713" s="5" t="s">
        <v>21</v>
      </c>
      <c r="C713" s="5" t="s">
        <v>19</v>
      </c>
      <c r="D713" s="5" t="s">
        <v>20</v>
      </c>
      <c r="E713" s="5" t="s">
        <v>12</v>
      </c>
      <c r="F713" s="5">
        <v>77</v>
      </c>
      <c r="G713" s="5">
        <v>78</v>
      </c>
      <c r="H713" s="6">
        <v>73</v>
      </c>
      <c r="I713" s="5">
        <f>SUM(F713:H713)</f>
        <v>228</v>
      </c>
      <c r="J713" s="7">
        <f>AVERAGE(F713:H713)</f>
        <v>76</v>
      </c>
      <c r="K713" s="8">
        <f>I713/300</f>
        <v>0.76</v>
      </c>
      <c r="L713" s="5">
        <f>_xlfn.RANK.EQ(J713,$J$2:$J$1001,0)</f>
        <v>288</v>
      </c>
    </row>
    <row r="714" spans="1:12" x14ac:dyDescent="0.3">
      <c r="A714" s="5" t="s">
        <v>8</v>
      </c>
      <c r="B714" s="5" t="s">
        <v>24</v>
      </c>
      <c r="C714" s="5" t="s">
        <v>23</v>
      </c>
      <c r="D714" s="5" t="s">
        <v>20</v>
      </c>
      <c r="E714" s="5" t="s">
        <v>12</v>
      </c>
      <c r="F714" s="5">
        <v>72</v>
      </c>
      <c r="G714" s="5">
        <v>79</v>
      </c>
      <c r="H714" s="6">
        <v>77</v>
      </c>
      <c r="I714" s="5">
        <f>SUM(F714:H714)</f>
        <v>228</v>
      </c>
      <c r="J714" s="7">
        <f>AVERAGE(F714:H714)</f>
        <v>76</v>
      </c>
      <c r="K714" s="8">
        <f>I714/300</f>
        <v>0.76</v>
      </c>
      <c r="L714" s="5">
        <f>_xlfn.RANK.EQ(J714,$J$2:$J$1001,0)</f>
        <v>288</v>
      </c>
    </row>
    <row r="715" spans="1:12" x14ac:dyDescent="0.3">
      <c r="A715" s="5" t="s">
        <v>17</v>
      </c>
      <c r="B715" s="5" t="s">
        <v>13</v>
      </c>
      <c r="C715" s="5" t="s">
        <v>14</v>
      </c>
      <c r="D715" s="5" t="s">
        <v>11</v>
      </c>
      <c r="E715" s="5" t="s">
        <v>12</v>
      </c>
      <c r="F715" s="5">
        <v>76</v>
      </c>
      <c r="G715" s="5">
        <v>78</v>
      </c>
      <c r="H715" s="6">
        <v>75</v>
      </c>
      <c r="I715" s="5">
        <f>SUM(F715:H715)</f>
        <v>229</v>
      </c>
      <c r="J715" s="7">
        <f>AVERAGE(F715:H715)</f>
        <v>76.333333333333329</v>
      </c>
      <c r="K715" s="8">
        <f>I715/300</f>
        <v>0.76333333333333331</v>
      </c>
      <c r="L715" s="5">
        <f>_xlfn.RANK.EQ(J715,$J$2:$J$1001,0)</f>
        <v>282</v>
      </c>
    </row>
    <row r="716" spans="1:12" x14ac:dyDescent="0.3">
      <c r="A716" s="5" t="s">
        <v>8</v>
      </c>
      <c r="B716" s="5" t="s">
        <v>9</v>
      </c>
      <c r="C716" s="5" t="s">
        <v>22</v>
      </c>
      <c r="D716" s="5" t="s">
        <v>11</v>
      </c>
      <c r="E716" s="5" t="s">
        <v>15</v>
      </c>
      <c r="F716" s="5">
        <v>68</v>
      </c>
      <c r="G716" s="5">
        <v>83</v>
      </c>
      <c r="H716" s="6">
        <v>78</v>
      </c>
      <c r="I716" s="5">
        <f>SUM(F716:H716)</f>
        <v>229</v>
      </c>
      <c r="J716" s="7">
        <f>AVERAGE(F716:H716)</f>
        <v>76.333333333333329</v>
      </c>
      <c r="K716" s="8">
        <f>I716/300</f>
        <v>0.76333333333333331</v>
      </c>
      <c r="L716" s="5">
        <f>_xlfn.RANK.EQ(J716,$J$2:$J$1001,0)</f>
        <v>282</v>
      </c>
    </row>
    <row r="717" spans="1:12" x14ac:dyDescent="0.3">
      <c r="A717" s="5" t="s">
        <v>17</v>
      </c>
      <c r="B717" s="5" t="s">
        <v>21</v>
      </c>
      <c r="C717" s="5" t="s">
        <v>23</v>
      </c>
      <c r="D717" s="5" t="s">
        <v>11</v>
      </c>
      <c r="E717" s="5" t="s">
        <v>12</v>
      </c>
      <c r="F717" s="5">
        <v>86</v>
      </c>
      <c r="G717" s="5">
        <v>73</v>
      </c>
      <c r="H717" s="6">
        <v>70</v>
      </c>
      <c r="I717" s="5">
        <f>SUM(F717:H717)</f>
        <v>229</v>
      </c>
      <c r="J717" s="7">
        <f>AVERAGE(F717:H717)</f>
        <v>76.333333333333329</v>
      </c>
      <c r="K717" s="8">
        <f>I717/300</f>
        <v>0.76333333333333331</v>
      </c>
      <c r="L717" s="5">
        <f>_xlfn.RANK.EQ(J717,$J$2:$J$1001,0)</f>
        <v>282</v>
      </c>
    </row>
    <row r="718" spans="1:12" x14ac:dyDescent="0.3">
      <c r="A718" s="5" t="s">
        <v>8</v>
      </c>
      <c r="B718" s="5" t="s">
        <v>9</v>
      </c>
      <c r="C718" s="5" t="s">
        <v>19</v>
      </c>
      <c r="D718" s="5" t="s">
        <v>11</v>
      </c>
      <c r="E718" s="5" t="s">
        <v>12</v>
      </c>
      <c r="F718" s="5">
        <v>73</v>
      </c>
      <c r="G718" s="5">
        <v>76</v>
      </c>
      <c r="H718" s="6">
        <v>80</v>
      </c>
      <c r="I718" s="5">
        <f>SUM(F718:H718)</f>
        <v>229</v>
      </c>
      <c r="J718" s="7">
        <f>AVERAGE(F718:H718)</f>
        <v>76.333333333333329</v>
      </c>
      <c r="K718" s="8">
        <f>I718/300</f>
        <v>0.76333333333333331</v>
      </c>
      <c r="L718" s="5">
        <f>_xlfn.RANK.EQ(J718,$J$2:$J$1001,0)</f>
        <v>282</v>
      </c>
    </row>
    <row r="719" spans="1:12" x14ac:dyDescent="0.3">
      <c r="A719" s="5" t="s">
        <v>8</v>
      </c>
      <c r="B719" s="5" t="s">
        <v>21</v>
      </c>
      <c r="C719" s="5" t="s">
        <v>14</v>
      </c>
      <c r="D719" s="5" t="s">
        <v>11</v>
      </c>
      <c r="E719" s="5" t="s">
        <v>15</v>
      </c>
      <c r="F719" s="5">
        <v>69</v>
      </c>
      <c r="G719" s="5">
        <v>79</v>
      </c>
      <c r="H719" s="6">
        <v>81</v>
      </c>
      <c r="I719" s="5">
        <f>SUM(F719:H719)</f>
        <v>229</v>
      </c>
      <c r="J719" s="7">
        <f>AVERAGE(F719:H719)</f>
        <v>76.333333333333329</v>
      </c>
      <c r="K719" s="8">
        <f>I719/300</f>
        <v>0.76333333333333331</v>
      </c>
      <c r="L719" s="5">
        <f>_xlfn.RANK.EQ(J719,$J$2:$J$1001,0)</f>
        <v>282</v>
      </c>
    </row>
    <row r="720" spans="1:12" x14ac:dyDescent="0.3">
      <c r="A720" s="5" t="s">
        <v>17</v>
      </c>
      <c r="B720" s="5" t="s">
        <v>13</v>
      </c>
      <c r="C720" s="5" t="s">
        <v>23</v>
      </c>
      <c r="D720" s="5" t="s">
        <v>11</v>
      </c>
      <c r="E720" s="5" t="s">
        <v>15</v>
      </c>
      <c r="F720" s="5">
        <v>76</v>
      </c>
      <c r="G720" s="5">
        <v>80</v>
      </c>
      <c r="H720" s="6">
        <v>73</v>
      </c>
      <c r="I720" s="5">
        <f>SUM(F720:H720)</f>
        <v>229</v>
      </c>
      <c r="J720" s="7">
        <f>AVERAGE(F720:H720)</f>
        <v>76.333333333333329</v>
      </c>
      <c r="K720" s="8">
        <f>I720/300</f>
        <v>0.76333333333333331</v>
      </c>
      <c r="L720" s="5">
        <f>_xlfn.RANK.EQ(J720,$J$2:$J$1001,0)</f>
        <v>282</v>
      </c>
    </row>
    <row r="721" spans="1:12" x14ac:dyDescent="0.3">
      <c r="A721" s="5" t="s">
        <v>17</v>
      </c>
      <c r="B721" s="5" t="s">
        <v>24</v>
      </c>
      <c r="C721" s="5" t="s">
        <v>23</v>
      </c>
      <c r="D721" s="5" t="s">
        <v>11</v>
      </c>
      <c r="E721" s="5" t="s">
        <v>15</v>
      </c>
      <c r="F721" s="5">
        <v>77</v>
      </c>
      <c r="G721" s="5">
        <v>76</v>
      </c>
      <c r="H721" s="6">
        <v>77</v>
      </c>
      <c r="I721" s="5">
        <f>SUM(F721:H721)</f>
        <v>230</v>
      </c>
      <c r="J721" s="7">
        <f>AVERAGE(F721:H721)</f>
        <v>76.666666666666671</v>
      </c>
      <c r="K721" s="8">
        <f>I721/300</f>
        <v>0.76666666666666672</v>
      </c>
      <c r="L721" s="5">
        <f>_xlfn.RANK.EQ(J721,$J$2:$J$1001,0)</f>
        <v>277</v>
      </c>
    </row>
    <row r="722" spans="1:12" x14ac:dyDescent="0.3">
      <c r="A722" s="5" t="s">
        <v>8</v>
      </c>
      <c r="B722" s="5" t="s">
        <v>13</v>
      </c>
      <c r="C722" s="5" t="s">
        <v>22</v>
      </c>
      <c r="D722" s="5" t="s">
        <v>20</v>
      </c>
      <c r="E722" s="5" t="s">
        <v>15</v>
      </c>
      <c r="F722" s="5">
        <v>67</v>
      </c>
      <c r="G722" s="5">
        <v>79</v>
      </c>
      <c r="H722" s="6">
        <v>84</v>
      </c>
      <c r="I722" s="5">
        <f>SUM(F722:H722)</f>
        <v>230</v>
      </c>
      <c r="J722" s="7">
        <f>AVERAGE(F722:H722)</f>
        <v>76.666666666666671</v>
      </c>
      <c r="K722" s="8">
        <f>I722/300</f>
        <v>0.76666666666666672</v>
      </c>
      <c r="L722" s="5">
        <f>_xlfn.RANK.EQ(J722,$J$2:$J$1001,0)</f>
        <v>277</v>
      </c>
    </row>
    <row r="723" spans="1:12" x14ac:dyDescent="0.3">
      <c r="A723" s="5" t="s">
        <v>8</v>
      </c>
      <c r="B723" s="5" t="s">
        <v>21</v>
      </c>
      <c r="C723" s="5" t="s">
        <v>10</v>
      </c>
      <c r="D723" s="5" t="s">
        <v>11</v>
      </c>
      <c r="E723" s="5" t="s">
        <v>15</v>
      </c>
      <c r="F723" s="5">
        <v>71</v>
      </c>
      <c r="G723" s="5">
        <v>76</v>
      </c>
      <c r="H723" s="6">
        <v>83</v>
      </c>
      <c r="I723" s="5">
        <f>SUM(F723:H723)</f>
        <v>230</v>
      </c>
      <c r="J723" s="7">
        <f>AVERAGE(F723:H723)</f>
        <v>76.666666666666671</v>
      </c>
      <c r="K723" s="8">
        <f>I723/300</f>
        <v>0.76666666666666672</v>
      </c>
      <c r="L723" s="5">
        <f>_xlfn.RANK.EQ(J723,$J$2:$J$1001,0)</f>
        <v>277</v>
      </c>
    </row>
    <row r="724" spans="1:12" x14ac:dyDescent="0.3">
      <c r="A724" s="5" t="s">
        <v>17</v>
      </c>
      <c r="B724" s="5" t="s">
        <v>21</v>
      </c>
      <c r="C724" s="5" t="s">
        <v>19</v>
      </c>
      <c r="D724" s="5" t="s">
        <v>11</v>
      </c>
      <c r="E724" s="5" t="s">
        <v>15</v>
      </c>
      <c r="F724" s="5">
        <v>81</v>
      </c>
      <c r="G724" s="5">
        <v>72</v>
      </c>
      <c r="H724" s="6">
        <v>77</v>
      </c>
      <c r="I724" s="5">
        <f>SUM(F724:H724)</f>
        <v>230</v>
      </c>
      <c r="J724" s="7">
        <f>AVERAGE(F724:H724)</f>
        <v>76.666666666666671</v>
      </c>
      <c r="K724" s="8">
        <f>I724/300</f>
        <v>0.76666666666666672</v>
      </c>
      <c r="L724" s="5">
        <f>_xlfn.RANK.EQ(J724,$J$2:$J$1001,0)</f>
        <v>277</v>
      </c>
    </row>
    <row r="725" spans="1:12" x14ac:dyDescent="0.3">
      <c r="A725" s="5" t="s">
        <v>17</v>
      </c>
      <c r="B725" s="5" t="s">
        <v>18</v>
      </c>
      <c r="C725" s="5" t="s">
        <v>14</v>
      </c>
      <c r="D725" s="5" t="s">
        <v>20</v>
      </c>
      <c r="E725" s="5" t="s">
        <v>12</v>
      </c>
      <c r="F725" s="5">
        <v>75</v>
      </c>
      <c r="G725" s="5">
        <v>81</v>
      </c>
      <c r="H725" s="6">
        <v>74</v>
      </c>
      <c r="I725" s="5">
        <f>SUM(F725:H725)</f>
        <v>230</v>
      </c>
      <c r="J725" s="7">
        <f>AVERAGE(F725:H725)</f>
        <v>76.666666666666671</v>
      </c>
      <c r="K725" s="8">
        <f>I725/300</f>
        <v>0.76666666666666672</v>
      </c>
      <c r="L725" s="5">
        <f>_xlfn.RANK.EQ(J725,$J$2:$J$1001,0)</f>
        <v>277</v>
      </c>
    </row>
    <row r="726" spans="1:12" x14ac:dyDescent="0.3">
      <c r="A726" s="5" t="s">
        <v>17</v>
      </c>
      <c r="B726" s="5" t="s">
        <v>24</v>
      </c>
      <c r="C726" s="5" t="s">
        <v>14</v>
      </c>
      <c r="D726" s="5" t="s">
        <v>20</v>
      </c>
      <c r="E726" s="5" t="s">
        <v>15</v>
      </c>
      <c r="F726" s="5">
        <v>87</v>
      </c>
      <c r="G726" s="5">
        <v>74</v>
      </c>
      <c r="H726" s="6">
        <v>70</v>
      </c>
      <c r="I726" s="5">
        <f>SUM(F726:H726)</f>
        <v>231</v>
      </c>
      <c r="J726" s="7">
        <f>AVERAGE(F726:H726)</f>
        <v>77</v>
      </c>
      <c r="K726" s="8">
        <f>I726/300</f>
        <v>0.77</v>
      </c>
      <c r="L726" s="5">
        <f>_xlfn.RANK.EQ(J726,$J$2:$J$1001,0)</f>
        <v>269</v>
      </c>
    </row>
    <row r="727" spans="1:12" x14ac:dyDescent="0.3">
      <c r="A727" s="5" t="s">
        <v>8</v>
      </c>
      <c r="B727" s="5" t="s">
        <v>9</v>
      </c>
      <c r="C727" s="5" t="s">
        <v>14</v>
      </c>
      <c r="D727" s="5" t="s">
        <v>20</v>
      </c>
      <c r="E727" s="5" t="s">
        <v>12</v>
      </c>
      <c r="F727" s="5">
        <v>74</v>
      </c>
      <c r="G727" s="5">
        <v>81</v>
      </c>
      <c r="H727" s="6">
        <v>76</v>
      </c>
      <c r="I727" s="5">
        <f>SUM(F727:H727)</f>
        <v>231</v>
      </c>
      <c r="J727" s="7">
        <f>AVERAGE(F727:H727)</f>
        <v>77</v>
      </c>
      <c r="K727" s="8">
        <f>I727/300</f>
        <v>0.77</v>
      </c>
      <c r="L727" s="5">
        <f>_xlfn.RANK.EQ(J727,$J$2:$J$1001,0)</f>
        <v>269</v>
      </c>
    </row>
    <row r="728" spans="1:12" x14ac:dyDescent="0.3">
      <c r="A728" s="5" t="s">
        <v>8</v>
      </c>
      <c r="B728" s="5" t="s">
        <v>13</v>
      </c>
      <c r="C728" s="5" t="s">
        <v>23</v>
      </c>
      <c r="D728" s="5" t="s">
        <v>20</v>
      </c>
      <c r="E728" s="5" t="s">
        <v>12</v>
      </c>
      <c r="F728" s="5">
        <v>65</v>
      </c>
      <c r="G728" s="5">
        <v>86</v>
      </c>
      <c r="H728" s="6">
        <v>80</v>
      </c>
      <c r="I728" s="5">
        <f>SUM(F728:H728)</f>
        <v>231</v>
      </c>
      <c r="J728" s="7">
        <f>AVERAGE(F728:H728)</f>
        <v>77</v>
      </c>
      <c r="K728" s="8">
        <f>I728/300</f>
        <v>0.77</v>
      </c>
      <c r="L728" s="5">
        <f>_xlfn.RANK.EQ(J728,$J$2:$J$1001,0)</f>
        <v>269</v>
      </c>
    </row>
    <row r="729" spans="1:12" x14ac:dyDescent="0.3">
      <c r="A729" s="5" t="s">
        <v>8</v>
      </c>
      <c r="B729" s="5" t="s">
        <v>18</v>
      </c>
      <c r="C729" s="5" t="s">
        <v>23</v>
      </c>
      <c r="D729" s="5" t="s">
        <v>11</v>
      </c>
      <c r="E729" s="5" t="s">
        <v>12</v>
      </c>
      <c r="F729" s="5">
        <v>71</v>
      </c>
      <c r="G729" s="5">
        <v>83</v>
      </c>
      <c r="H729" s="6">
        <v>77</v>
      </c>
      <c r="I729" s="5">
        <f>SUM(F729:H729)</f>
        <v>231</v>
      </c>
      <c r="J729" s="7">
        <f>AVERAGE(F729:H729)</f>
        <v>77</v>
      </c>
      <c r="K729" s="8">
        <f>I729/300</f>
        <v>0.77</v>
      </c>
      <c r="L729" s="5">
        <f>_xlfn.RANK.EQ(J729,$J$2:$J$1001,0)</f>
        <v>269</v>
      </c>
    </row>
    <row r="730" spans="1:12" x14ac:dyDescent="0.3">
      <c r="A730" s="5" t="s">
        <v>17</v>
      </c>
      <c r="B730" s="5" t="s">
        <v>13</v>
      </c>
      <c r="C730" s="5" t="s">
        <v>16</v>
      </c>
      <c r="D730" s="5" t="s">
        <v>20</v>
      </c>
      <c r="E730" s="5" t="s">
        <v>12</v>
      </c>
      <c r="F730" s="5">
        <v>79</v>
      </c>
      <c r="G730" s="5">
        <v>81</v>
      </c>
      <c r="H730" s="6">
        <v>71</v>
      </c>
      <c r="I730" s="5">
        <f>SUM(F730:H730)</f>
        <v>231</v>
      </c>
      <c r="J730" s="7">
        <f>AVERAGE(F730:H730)</f>
        <v>77</v>
      </c>
      <c r="K730" s="8">
        <f>I730/300</f>
        <v>0.77</v>
      </c>
      <c r="L730" s="5">
        <f>_xlfn.RANK.EQ(J730,$J$2:$J$1001,0)</f>
        <v>269</v>
      </c>
    </row>
    <row r="731" spans="1:12" x14ac:dyDescent="0.3">
      <c r="A731" s="5" t="s">
        <v>8</v>
      </c>
      <c r="B731" s="5" t="s">
        <v>9</v>
      </c>
      <c r="C731" s="5" t="s">
        <v>23</v>
      </c>
      <c r="D731" s="5" t="s">
        <v>11</v>
      </c>
      <c r="E731" s="5" t="s">
        <v>12</v>
      </c>
      <c r="F731" s="5">
        <v>73</v>
      </c>
      <c r="G731" s="5">
        <v>79</v>
      </c>
      <c r="H731" s="6">
        <v>79</v>
      </c>
      <c r="I731" s="5">
        <f>SUM(F731:H731)</f>
        <v>231</v>
      </c>
      <c r="J731" s="7">
        <f>AVERAGE(F731:H731)</f>
        <v>77</v>
      </c>
      <c r="K731" s="8">
        <f>I731/300</f>
        <v>0.77</v>
      </c>
      <c r="L731" s="5">
        <f>_xlfn.RANK.EQ(J731,$J$2:$J$1001,0)</f>
        <v>269</v>
      </c>
    </row>
    <row r="732" spans="1:12" x14ac:dyDescent="0.3">
      <c r="A732" s="5" t="s">
        <v>17</v>
      </c>
      <c r="B732" s="5" t="s">
        <v>13</v>
      </c>
      <c r="C732" s="5" t="s">
        <v>16</v>
      </c>
      <c r="D732" s="5" t="s">
        <v>20</v>
      </c>
      <c r="E732" s="5" t="s">
        <v>15</v>
      </c>
      <c r="F732" s="5">
        <v>79</v>
      </c>
      <c r="G732" s="5">
        <v>77</v>
      </c>
      <c r="H732" s="6">
        <v>75</v>
      </c>
      <c r="I732" s="5">
        <f>SUM(F732:H732)</f>
        <v>231</v>
      </c>
      <c r="J732" s="7">
        <f>AVERAGE(F732:H732)</f>
        <v>77</v>
      </c>
      <c r="K732" s="8">
        <f>I732/300</f>
        <v>0.77</v>
      </c>
      <c r="L732" s="5">
        <f>_xlfn.RANK.EQ(J732,$J$2:$J$1001,0)</f>
        <v>269</v>
      </c>
    </row>
    <row r="733" spans="1:12" x14ac:dyDescent="0.3">
      <c r="A733" s="5" t="s">
        <v>8</v>
      </c>
      <c r="B733" s="5" t="s">
        <v>13</v>
      </c>
      <c r="C733" s="5" t="s">
        <v>23</v>
      </c>
      <c r="D733" s="5" t="s">
        <v>11</v>
      </c>
      <c r="E733" s="5" t="s">
        <v>12</v>
      </c>
      <c r="F733" s="5">
        <v>74</v>
      </c>
      <c r="G733" s="5">
        <v>75</v>
      </c>
      <c r="H733" s="6">
        <v>82</v>
      </c>
      <c r="I733" s="5">
        <f>SUM(F733:H733)</f>
        <v>231</v>
      </c>
      <c r="J733" s="7">
        <f>AVERAGE(F733:H733)</f>
        <v>77</v>
      </c>
      <c r="K733" s="8">
        <f>I733/300</f>
        <v>0.77</v>
      </c>
      <c r="L733" s="5">
        <f>_xlfn.RANK.EQ(J733,$J$2:$J$1001,0)</f>
        <v>269</v>
      </c>
    </row>
    <row r="734" spans="1:12" x14ac:dyDescent="0.3">
      <c r="A734" s="5" t="s">
        <v>8</v>
      </c>
      <c r="B734" s="5" t="s">
        <v>9</v>
      </c>
      <c r="C734" s="5" t="s">
        <v>19</v>
      </c>
      <c r="D734" s="5" t="s">
        <v>11</v>
      </c>
      <c r="E734" s="5" t="s">
        <v>12</v>
      </c>
      <c r="F734" s="5">
        <v>71</v>
      </c>
      <c r="G734" s="5">
        <v>83</v>
      </c>
      <c r="H734" s="6">
        <v>78</v>
      </c>
      <c r="I734" s="5">
        <f>SUM(F734:H734)</f>
        <v>232</v>
      </c>
      <c r="J734" s="7">
        <f>AVERAGE(F734:H734)</f>
        <v>77.333333333333329</v>
      </c>
      <c r="K734" s="8">
        <f>I734/300</f>
        <v>0.77333333333333332</v>
      </c>
      <c r="L734" s="5">
        <f>_xlfn.RANK.EQ(J734,$J$2:$J$1001,0)</f>
        <v>255</v>
      </c>
    </row>
    <row r="735" spans="1:12" x14ac:dyDescent="0.3">
      <c r="A735" s="5" t="s">
        <v>17</v>
      </c>
      <c r="B735" s="5" t="s">
        <v>21</v>
      </c>
      <c r="C735" s="5" t="s">
        <v>19</v>
      </c>
      <c r="D735" s="5" t="s">
        <v>11</v>
      </c>
      <c r="E735" s="5" t="s">
        <v>12</v>
      </c>
      <c r="F735" s="5">
        <v>80</v>
      </c>
      <c r="G735" s="5">
        <v>75</v>
      </c>
      <c r="H735" s="6">
        <v>77</v>
      </c>
      <c r="I735" s="5">
        <f>SUM(F735:H735)</f>
        <v>232</v>
      </c>
      <c r="J735" s="7">
        <f>AVERAGE(F735:H735)</f>
        <v>77.333333333333329</v>
      </c>
      <c r="K735" s="8">
        <f>I735/300</f>
        <v>0.77333333333333332</v>
      </c>
      <c r="L735" s="5">
        <f>_xlfn.RANK.EQ(J735,$J$2:$J$1001,0)</f>
        <v>255</v>
      </c>
    </row>
    <row r="736" spans="1:12" x14ac:dyDescent="0.3">
      <c r="A736" s="5" t="s">
        <v>17</v>
      </c>
      <c r="B736" s="5" t="s">
        <v>13</v>
      </c>
      <c r="C736" s="5" t="s">
        <v>19</v>
      </c>
      <c r="D736" s="5" t="s">
        <v>11</v>
      </c>
      <c r="E736" s="5" t="s">
        <v>12</v>
      </c>
      <c r="F736" s="5">
        <v>85</v>
      </c>
      <c r="G736" s="5">
        <v>76</v>
      </c>
      <c r="H736" s="6">
        <v>71</v>
      </c>
      <c r="I736" s="5">
        <f>SUM(F736:H736)</f>
        <v>232</v>
      </c>
      <c r="J736" s="7">
        <f>AVERAGE(F736:H736)</f>
        <v>77.333333333333329</v>
      </c>
      <c r="K736" s="8">
        <f>I736/300</f>
        <v>0.77333333333333332</v>
      </c>
      <c r="L736" s="5">
        <f>_xlfn.RANK.EQ(J736,$J$2:$J$1001,0)</f>
        <v>255</v>
      </c>
    </row>
    <row r="737" spans="1:12" x14ac:dyDescent="0.3">
      <c r="A737" s="5" t="s">
        <v>17</v>
      </c>
      <c r="B737" s="5" t="s">
        <v>21</v>
      </c>
      <c r="C737" s="5" t="s">
        <v>16</v>
      </c>
      <c r="D737" s="5" t="s">
        <v>11</v>
      </c>
      <c r="E737" s="5" t="s">
        <v>12</v>
      </c>
      <c r="F737" s="5">
        <v>80</v>
      </c>
      <c r="G737" s="5">
        <v>80</v>
      </c>
      <c r="H737" s="6">
        <v>72</v>
      </c>
      <c r="I737" s="5">
        <f>SUM(F737:H737)</f>
        <v>232</v>
      </c>
      <c r="J737" s="7">
        <f>AVERAGE(F737:H737)</f>
        <v>77.333333333333329</v>
      </c>
      <c r="K737" s="8">
        <f>I737/300</f>
        <v>0.77333333333333332</v>
      </c>
      <c r="L737" s="5">
        <f>_xlfn.RANK.EQ(J737,$J$2:$J$1001,0)</f>
        <v>255</v>
      </c>
    </row>
    <row r="738" spans="1:12" x14ac:dyDescent="0.3">
      <c r="A738" s="5" t="s">
        <v>17</v>
      </c>
      <c r="B738" s="5" t="s">
        <v>13</v>
      </c>
      <c r="C738" s="5" t="s">
        <v>19</v>
      </c>
      <c r="D738" s="5" t="s">
        <v>11</v>
      </c>
      <c r="E738" s="5" t="s">
        <v>15</v>
      </c>
      <c r="F738" s="5">
        <v>78</v>
      </c>
      <c r="G738" s="5">
        <v>77</v>
      </c>
      <c r="H738" s="6">
        <v>77</v>
      </c>
      <c r="I738" s="5">
        <f>SUM(F738:H738)</f>
        <v>232</v>
      </c>
      <c r="J738" s="7">
        <f>AVERAGE(F738:H738)</f>
        <v>77.333333333333329</v>
      </c>
      <c r="K738" s="8">
        <f>I738/300</f>
        <v>0.77333333333333332</v>
      </c>
      <c r="L738" s="5">
        <f>_xlfn.RANK.EQ(J738,$J$2:$J$1001,0)</f>
        <v>255</v>
      </c>
    </row>
    <row r="739" spans="1:12" x14ac:dyDescent="0.3">
      <c r="A739" s="5" t="s">
        <v>8</v>
      </c>
      <c r="B739" s="5" t="s">
        <v>13</v>
      </c>
      <c r="C739" s="5" t="s">
        <v>19</v>
      </c>
      <c r="D739" s="5" t="s">
        <v>11</v>
      </c>
      <c r="E739" s="5" t="s">
        <v>15</v>
      </c>
      <c r="F739" s="5">
        <v>67</v>
      </c>
      <c r="G739" s="5">
        <v>84</v>
      </c>
      <c r="H739" s="6">
        <v>81</v>
      </c>
      <c r="I739" s="5">
        <f>SUM(F739:H739)</f>
        <v>232</v>
      </c>
      <c r="J739" s="7">
        <f>AVERAGE(F739:H739)</f>
        <v>77.333333333333329</v>
      </c>
      <c r="K739" s="8">
        <f>I739/300</f>
        <v>0.77333333333333332</v>
      </c>
      <c r="L739" s="5">
        <f>_xlfn.RANK.EQ(J739,$J$2:$J$1001,0)</f>
        <v>255</v>
      </c>
    </row>
    <row r="740" spans="1:12" x14ac:dyDescent="0.3">
      <c r="A740" s="5" t="s">
        <v>8</v>
      </c>
      <c r="B740" s="5" t="s">
        <v>13</v>
      </c>
      <c r="C740" s="5" t="s">
        <v>19</v>
      </c>
      <c r="D740" s="5" t="s">
        <v>11</v>
      </c>
      <c r="E740" s="5" t="s">
        <v>15</v>
      </c>
      <c r="F740" s="5">
        <v>74</v>
      </c>
      <c r="G740" s="5">
        <v>75</v>
      </c>
      <c r="H740" s="6">
        <v>83</v>
      </c>
      <c r="I740" s="5">
        <f>SUM(F740:H740)</f>
        <v>232</v>
      </c>
      <c r="J740" s="7">
        <f>AVERAGE(F740:H740)</f>
        <v>77.333333333333329</v>
      </c>
      <c r="K740" s="8">
        <f>I740/300</f>
        <v>0.77333333333333332</v>
      </c>
      <c r="L740" s="5">
        <f>_xlfn.RANK.EQ(J740,$J$2:$J$1001,0)</f>
        <v>255</v>
      </c>
    </row>
    <row r="741" spans="1:12" x14ac:dyDescent="0.3">
      <c r="A741" s="5" t="s">
        <v>8</v>
      </c>
      <c r="B741" s="5" t="s">
        <v>13</v>
      </c>
      <c r="C741" s="5" t="s">
        <v>14</v>
      </c>
      <c r="D741" s="5" t="s">
        <v>11</v>
      </c>
      <c r="E741" s="5" t="s">
        <v>12</v>
      </c>
      <c r="F741" s="5">
        <v>71</v>
      </c>
      <c r="G741" s="5">
        <v>81</v>
      </c>
      <c r="H741" s="6">
        <v>80</v>
      </c>
      <c r="I741" s="5">
        <f>SUM(F741:H741)</f>
        <v>232</v>
      </c>
      <c r="J741" s="7">
        <f>AVERAGE(F741:H741)</f>
        <v>77.333333333333329</v>
      </c>
      <c r="K741" s="8">
        <f>I741/300</f>
        <v>0.77333333333333332</v>
      </c>
      <c r="L741" s="5">
        <f>_xlfn.RANK.EQ(J741,$J$2:$J$1001,0)</f>
        <v>255</v>
      </c>
    </row>
    <row r="742" spans="1:12" x14ac:dyDescent="0.3">
      <c r="A742" s="5" t="s">
        <v>17</v>
      </c>
      <c r="B742" s="5" t="s">
        <v>24</v>
      </c>
      <c r="C742" s="5" t="s">
        <v>14</v>
      </c>
      <c r="D742" s="5" t="s">
        <v>11</v>
      </c>
      <c r="E742" s="5" t="s">
        <v>12</v>
      </c>
      <c r="F742" s="5">
        <v>84</v>
      </c>
      <c r="G742" s="5">
        <v>77</v>
      </c>
      <c r="H742" s="6">
        <v>71</v>
      </c>
      <c r="I742" s="5">
        <f>SUM(F742:H742)</f>
        <v>232</v>
      </c>
      <c r="J742" s="7">
        <f>AVERAGE(F742:H742)</f>
        <v>77.333333333333329</v>
      </c>
      <c r="K742" s="8">
        <f>I742/300</f>
        <v>0.77333333333333332</v>
      </c>
      <c r="L742" s="5">
        <f>_xlfn.RANK.EQ(J742,$J$2:$J$1001,0)</f>
        <v>255</v>
      </c>
    </row>
    <row r="743" spans="1:12" x14ac:dyDescent="0.3">
      <c r="A743" s="5" t="s">
        <v>8</v>
      </c>
      <c r="B743" s="5" t="s">
        <v>9</v>
      </c>
      <c r="C743" s="5" t="s">
        <v>19</v>
      </c>
      <c r="D743" s="5" t="s">
        <v>11</v>
      </c>
      <c r="E743" s="5" t="s">
        <v>12</v>
      </c>
      <c r="F743" s="5">
        <v>73</v>
      </c>
      <c r="G743" s="5">
        <v>83</v>
      </c>
      <c r="H743" s="6">
        <v>76</v>
      </c>
      <c r="I743" s="5">
        <f>SUM(F743:H743)</f>
        <v>232</v>
      </c>
      <c r="J743" s="7">
        <f>AVERAGE(F743:H743)</f>
        <v>77.333333333333329</v>
      </c>
      <c r="K743" s="8">
        <f>I743/300</f>
        <v>0.77333333333333332</v>
      </c>
      <c r="L743" s="5">
        <f>_xlfn.RANK.EQ(J743,$J$2:$J$1001,0)</f>
        <v>255</v>
      </c>
    </row>
    <row r="744" spans="1:12" x14ac:dyDescent="0.3">
      <c r="A744" s="5" t="s">
        <v>8</v>
      </c>
      <c r="B744" s="5" t="s">
        <v>13</v>
      </c>
      <c r="C744" s="5" t="s">
        <v>10</v>
      </c>
      <c r="D744" s="5" t="s">
        <v>20</v>
      </c>
      <c r="E744" s="5" t="s">
        <v>15</v>
      </c>
      <c r="F744" s="5">
        <v>66</v>
      </c>
      <c r="G744" s="5">
        <v>83</v>
      </c>
      <c r="H744" s="6">
        <v>83</v>
      </c>
      <c r="I744" s="5">
        <f>SUM(F744:H744)</f>
        <v>232</v>
      </c>
      <c r="J744" s="7">
        <f>AVERAGE(F744:H744)</f>
        <v>77.333333333333329</v>
      </c>
      <c r="K744" s="8">
        <f>I744/300</f>
        <v>0.77333333333333332</v>
      </c>
      <c r="L744" s="5">
        <f>_xlfn.RANK.EQ(J744,$J$2:$J$1001,0)</f>
        <v>255</v>
      </c>
    </row>
    <row r="745" spans="1:12" x14ac:dyDescent="0.3">
      <c r="A745" s="5" t="s">
        <v>8</v>
      </c>
      <c r="B745" s="5" t="s">
        <v>9</v>
      </c>
      <c r="C745" s="5" t="s">
        <v>23</v>
      </c>
      <c r="D745" s="5" t="s">
        <v>20</v>
      </c>
      <c r="E745" s="5" t="s">
        <v>12</v>
      </c>
      <c r="F745" s="5">
        <v>72</v>
      </c>
      <c r="G745" s="5">
        <v>81</v>
      </c>
      <c r="H745" s="6">
        <v>79</v>
      </c>
      <c r="I745" s="5">
        <f>SUM(F745:H745)</f>
        <v>232</v>
      </c>
      <c r="J745" s="7">
        <f>AVERAGE(F745:H745)</f>
        <v>77.333333333333329</v>
      </c>
      <c r="K745" s="8">
        <f>I745/300</f>
        <v>0.77333333333333332</v>
      </c>
      <c r="L745" s="5">
        <f>_xlfn.RANK.EQ(J745,$J$2:$J$1001,0)</f>
        <v>255</v>
      </c>
    </row>
    <row r="746" spans="1:12" x14ac:dyDescent="0.3">
      <c r="A746" s="5" t="s">
        <v>17</v>
      </c>
      <c r="B746" s="5" t="s">
        <v>13</v>
      </c>
      <c r="C746" s="5" t="s">
        <v>19</v>
      </c>
      <c r="D746" s="5" t="s">
        <v>20</v>
      </c>
      <c r="E746" s="5" t="s">
        <v>12</v>
      </c>
      <c r="F746" s="5">
        <v>87</v>
      </c>
      <c r="G746" s="5">
        <v>73</v>
      </c>
      <c r="H746" s="6">
        <v>72</v>
      </c>
      <c r="I746" s="5">
        <f>SUM(F746:H746)</f>
        <v>232</v>
      </c>
      <c r="J746" s="7">
        <f>AVERAGE(F746:H746)</f>
        <v>77.333333333333329</v>
      </c>
      <c r="K746" s="8">
        <f>I746/300</f>
        <v>0.77333333333333332</v>
      </c>
      <c r="L746" s="5">
        <f>_xlfn.RANK.EQ(J746,$J$2:$J$1001,0)</f>
        <v>255</v>
      </c>
    </row>
    <row r="747" spans="1:12" x14ac:dyDescent="0.3">
      <c r="A747" s="5" t="s">
        <v>17</v>
      </c>
      <c r="B747" s="5" t="s">
        <v>24</v>
      </c>
      <c r="C747" s="5" t="s">
        <v>23</v>
      </c>
      <c r="D747" s="5" t="s">
        <v>11</v>
      </c>
      <c r="E747" s="5" t="s">
        <v>15</v>
      </c>
      <c r="F747" s="5">
        <v>81</v>
      </c>
      <c r="G747" s="5">
        <v>75</v>
      </c>
      <c r="H747" s="6">
        <v>76</v>
      </c>
      <c r="I747" s="5">
        <f>SUM(F747:H747)</f>
        <v>232</v>
      </c>
      <c r="J747" s="7">
        <f>AVERAGE(F747:H747)</f>
        <v>77.333333333333329</v>
      </c>
      <c r="K747" s="8">
        <f>I747/300</f>
        <v>0.77333333333333332</v>
      </c>
      <c r="L747" s="5">
        <f>_xlfn.RANK.EQ(J747,$J$2:$J$1001,0)</f>
        <v>255</v>
      </c>
    </row>
    <row r="748" spans="1:12" x14ac:dyDescent="0.3">
      <c r="A748" s="5" t="s">
        <v>8</v>
      </c>
      <c r="B748" s="5" t="s">
        <v>9</v>
      </c>
      <c r="C748" s="5" t="s">
        <v>10</v>
      </c>
      <c r="D748" s="5" t="s">
        <v>20</v>
      </c>
      <c r="E748" s="5" t="s">
        <v>12</v>
      </c>
      <c r="F748" s="5">
        <v>78</v>
      </c>
      <c r="G748" s="5">
        <v>79</v>
      </c>
      <c r="H748" s="6">
        <v>76</v>
      </c>
      <c r="I748" s="5">
        <f>SUM(F748:H748)</f>
        <v>233</v>
      </c>
      <c r="J748" s="7">
        <f>AVERAGE(F748:H748)</f>
        <v>77.666666666666671</v>
      </c>
      <c r="K748" s="8">
        <f>I748/300</f>
        <v>0.77666666666666662</v>
      </c>
      <c r="L748" s="5">
        <f>_xlfn.RANK.EQ(J748,$J$2:$J$1001,0)</f>
        <v>250</v>
      </c>
    </row>
    <row r="749" spans="1:12" x14ac:dyDescent="0.3">
      <c r="A749" s="5" t="s">
        <v>17</v>
      </c>
      <c r="B749" s="5" t="s">
        <v>13</v>
      </c>
      <c r="C749" s="5" t="s">
        <v>19</v>
      </c>
      <c r="D749" s="5" t="s">
        <v>11</v>
      </c>
      <c r="E749" s="5" t="s">
        <v>12</v>
      </c>
      <c r="F749" s="5">
        <v>83</v>
      </c>
      <c r="G749" s="5">
        <v>72</v>
      </c>
      <c r="H749" s="6">
        <v>78</v>
      </c>
      <c r="I749" s="5">
        <f>SUM(F749:H749)</f>
        <v>233</v>
      </c>
      <c r="J749" s="7">
        <f>AVERAGE(F749:H749)</f>
        <v>77.666666666666671</v>
      </c>
      <c r="K749" s="8">
        <f>I749/300</f>
        <v>0.77666666666666662</v>
      </c>
      <c r="L749" s="5">
        <f>_xlfn.RANK.EQ(J749,$J$2:$J$1001,0)</f>
        <v>250</v>
      </c>
    </row>
    <row r="750" spans="1:12" x14ac:dyDescent="0.3">
      <c r="A750" s="5" t="s">
        <v>8</v>
      </c>
      <c r="B750" s="5" t="s">
        <v>24</v>
      </c>
      <c r="C750" s="5" t="s">
        <v>22</v>
      </c>
      <c r="D750" s="5" t="s">
        <v>11</v>
      </c>
      <c r="E750" s="5" t="s">
        <v>15</v>
      </c>
      <c r="F750" s="5">
        <v>74</v>
      </c>
      <c r="G750" s="5">
        <v>79</v>
      </c>
      <c r="H750" s="6">
        <v>80</v>
      </c>
      <c r="I750" s="5">
        <f>SUM(F750:H750)</f>
        <v>233</v>
      </c>
      <c r="J750" s="7">
        <f>AVERAGE(F750:H750)</f>
        <v>77.666666666666671</v>
      </c>
      <c r="K750" s="8">
        <f>I750/300</f>
        <v>0.77666666666666662</v>
      </c>
      <c r="L750" s="5">
        <f>_xlfn.RANK.EQ(J750,$J$2:$J$1001,0)</f>
        <v>250</v>
      </c>
    </row>
    <row r="751" spans="1:12" x14ac:dyDescent="0.3">
      <c r="A751" s="5" t="s">
        <v>8</v>
      </c>
      <c r="B751" s="5" t="s">
        <v>13</v>
      </c>
      <c r="C751" s="5" t="s">
        <v>19</v>
      </c>
      <c r="D751" s="5" t="s">
        <v>11</v>
      </c>
      <c r="E751" s="5" t="s">
        <v>15</v>
      </c>
      <c r="F751" s="5">
        <v>65</v>
      </c>
      <c r="G751" s="5">
        <v>84</v>
      </c>
      <c r="H751" s="6">
        <v>84</v>
      </c>
      <c r="I751" s="5">
        <f>SUM(F751:H751)</f>
        <v>233</v>
      </c>
      <c r="J751" s="7">
        <f>AVERAGE(F751:H751)</f>
        <v>77.666666666666671</v>
      </c>
      <c r="K751" s="8">
        <f>I751/300</f>
        <v>0.77666666666666662</v>
      </c>
      <c r="L751" s="5">
        <f>_xlfn.RANK.EQ(J751,$J$2:$J$1001,0)</f>
        <v>250</v>
      </c>
    </row>
    <row r="752" spans="1:12" x14ac:dyDescent="0.3">
      <c r="A752" s="5" t="s">
        <v>8</v>
      </c>
      <c r="B752" s="5" t="s">
        <v>18</v>
      </c>
      <c r="C752" s="5" t="s">
        <v>14</v>
      </c>
      <c r="D752" s="5" t="s">
        <v>11</v>
      </c>
      <c r="E752" s="5" t="s">
        <v>15</v>
      </c>
      <c r="F752" s="5">
        <v>72</v>
      </c>
      <c r="G752" s="5">
        <v>79</v>
      </c>
      <c r="H752" s="6">
        <v>82</v>
      </c>
      <c r="I752" s="5">
        <f>SUM(F752:H752)</f>
        <v>233</v>
      </c>
      <c r="J752" s="7">
        <f>AVERAGE(F752:H752)</f>
        <v>77.666666666666671</v>
      </c>
      <c r="K752" s="8">
        <f>I752/300</f>
        <v>0.77666666666666662</v>
      </c>
      <c r="L752" s="5">
        <f>_xlfn.RANK.EQ(J752,$J$2:$J$1001,0)</f>
        <v>250</v>
      </c>
    </row>
    <row r="753" spans="1:12" x14ac:dyDescent="0.3">
      <c r="A753" s="5" t="s">
        <v>8</v>
      </c>
      <c r="B753" s="5" t="s">
        <v>9</v>
      </c>
      <c r="C753" s="5" t="s">
        <v>19</v>
      </c>
      <c r="D753" s="5" t="s">
        <v>11</v>
      </c>
      <c r="E753" s="5" t="s">
        <v>15</v>
      </c>
      <c r="F753" s="5">
        <v>61</v>
      </c>
      <c r="G753" s="5">
        <v>86</v>
      </c>
      <c r="H753" s="6">
        <v>87</v>
      </c>
      <c r="I753" s="5">
        <f>SUM(F753:H753)</f>
        <v>234</v>
      </c>
      <c r="J753" s="7">
        <f>AVERAGE(F753:H753)</f>
        <v>78</v>
      </c>
      <c r="K753" s="8">
        <f>I753/300</f>
        <v>0.78</v>
      </c>
      <c r="L753" s="5">
        <f>_xlfn.RANK.EQ(J753,$J$2:$J$1001,0)</f>
        <v>240</v>
      </c>
    </row>
    <row r="754" spans="1:12" x14ac:dyDescent="0.3">
      <c r="A754" s="5" t="s">
        <v>17</v>
      </c>
      <c r="B754" s="5" t="s">
        <v>9</v>
      </c>
      <c r="C754" s="5" t="s">
        <v>19</v>
      </c>
      <c r="D754" s="5" t="s">
        <v>20</v>
      </c>
      <c r="E754" s="5" t="s">
        <v>15</v>
      </c>
      <c r="F754" s="5">
        <v>82</v>
      </c>
      <c r="G754" s="5">
        <v>78</v>
      </c>
      <c r="H754" s="6">
        <v>74</v>
      </c>
      <c r="I754" s="5">
        <f>SUM(F754:H754)</f>
        <v>234</v>
      </c>
      <c r="J754" s="7">
        <f>AVERAGE(F754:H754)</f>
        <v>78</v>
      </c>
      <c r="K754" s="8">
        <f>I754/300</f>
        <v>0.78</v>
      </c>
      <c r="L754" s="5">
        <f>_xlfn.RANK.EQ(J754,$J$2:$J$1001,0)</f>
        <v>240</v>
      </c>
    </row>
    <row r="755" spans="1:12" x14ac:dyDescent="0.3">
      <c r="A755" s="5" t="s">
        <v>17</v>
      </c>
      <c r="B755" s="5" t="s">
        <v>13</v>
      </c>
      <c r="C755" s="5" t="s">
        <v>10</v>
      </c>
      <c r="D755" s="5" t="s">
        <v>11</v>
      </c>
      <c r="E755" s="5" t="s">
        <v>12</v>
      </c>
      <c r="F755" s="5">
        <v>83</v>
      </c>
      <c r="G755" s="5">
        <v>78</v>
      </c>
      <c r="H755" s="6">
        <v>73</v>
      </c>
      <c r="I755" s="5">
        <f>SUM(F755:H755)</f>
        <v>234</v>
      </c>
      <c r="J755" s="7">
        <f>AVERAGE(F755:H755)</f>
        <v>78</v>
      </c>
      <c r="K755" s="8">
        <f>I755/300</f>
        <v>0.78</v>
      </c>
      <c r="L755" s="5">
        <f>_xlfn.RANK.EQ(J755,$J$2:$J$1001,0)</f>
        <v>240</v>
      </c>
    </row>
    <row r="756" spans="1:12" x14ac:dyDescent="0.3">
      <c r="A756" s="5" t="s">
        <v>17</v>
      </c>
      <c r="B756" s="5" t="s">
        <v>13</v>
      </c>
      <c r="C756" s="5" t="s">
        <v>19</v>
      </c>
      <c r="D756" s="5" t="s">
        <v>11</v>
      </c>
      <c r="E756" s="5" t="s">
        <v>15</v>
      </c>
      <c r="F756" s="5">
        <v>82</v>
      </c>
      <c r="G756" s="5">
        <v>75</v>
      </c>
      <c r="H756" s="6">
        <v>77</v>
      </c>
      <c r="I756" s="5">
        <f>SUM(F756:H756)</f>
        <v>234</v>
      </c>
      <c r="J756" s="7">
        <f>AVERAGE(F756:H756)</f>
        <v>78</v>
      </c>
      <c r="K756" s="8">
        <f>I756/300</f>
        <v>0.78</v>
      </c>
      <c r="L756" s="5">
        <f>_xlfn.RANK.EQ(J756,$J$2:$J$1001,0)</f>
        <v>240</v>
      </c>
    </row>
    <row r="757" spans="1:12" x14ac:dyDescent="0.3">
      <c r="A757" s="5" t="s">
        <v>17</v>
      </c>
      <c r="B757" s="5" t="s">
        <v>18</v>
      </c>
      <c r="C757" s="5" t="s">
        <v>23</v>
      </c>
      <c r="D757" s="5" t="s">
        <v>20</v>
      </c>
      <c r="E757" s="5" t="s">
        <v>12</v>
      </c>
      <c r="F757" s="5">
        <v>79</v>
      </c>
      <c r="G757" s="5">
        <v>82</v>
      </c>
      <c r="H757" s="6">
        <v>73</v>
      </c>
      <c r="I757" s="5">
        <f>SUM(F757:H757)</f>
        <v>234</v>
      </c>
      <c r="J757" s="7">
        <f>AVERAGE(F757:H757)</f>
        <v>78</v>
      </c>
      <c r="K757" s="8">
        <f>I757/300</f>
        <v>0.78</v>
      </c>
      <c r="L757" s="5">
        <f>_xlfn.RANK.EQ(J757,$J$2:$J$1001,0)</f>
        <v>240</v>
      </c>
    </row>
    <row r="758" spans="1:12" x14ac:dyDescent="0.3">
      <c r="A758" s="5" t="s">
        <v>8</v>
      </c>
      <c r="B758" s="5" t="s">
        <v>13</v>
      </c>
      <c r="C758" s="5" t="s">
        <v>14</v>
      </c>
      <c r="D758" s="5" t="s">
        <v>20</v>
      </c>
      <c r="E758" s="5" t="s">
        <v>15</v>
      </c>
      <c r="F758" s="5">
        <v>64</v>
      </c>
      <c r="G758" s="5">
        <v>85</v>
      </c>
      <c r="H758" s="6">
        <v>85</v>
      </c>
      <c r="I758" s="5">
        <f>SUM(F758:H758)</f>
        <v>234</v>
      </c>
      <c r="J758" s="7">
        <f>AVERAGE(F758:H758)</f>
        <v>78</v>
      </c>
      <c r="K758" s="8">
        <f>I758/300</f>
        <v>0.78</v>
      </c>
      <c r="L758" s="5">
        <f>_xlfn.RANK.EQ(J758,$J$2:$J$1001,0)</f>
        <v>240</v>
      </c>
    </row>
    <row r="759" spans="1:12" x14ac:dyDescent="0.3">
      <c r="A759" s="5" t="s">
        <v>17</v>
      </c>
      <c r="B759" s="5" t="s">
        <v>13</v>
      </c>
      <c r="C759" s="5" t="s">
        <v>16</v>
      </c>
      <c r="D759" s="5" t="s">
        <v>11</v>
      </c>
      <c r="E759" s="5" t="s">
        <v>12</v>
      </c>
      <c r="F759" s="5">
        <v>79</v>
      </c>
      <c r="G759" s="5">
        <v>78</v>
      </c>
      <c r="H759" s="6">
        <v>77</v>
      </c>
      <c r="I759" s="5">
        <f>SUM(F759:H759)</f>
        <v>234</v>
      </c>
      <c r="J759" s="7">
        <f>AVERAGE(F759:H759)</f>
        <v>78</v>
      </c>
      <c r="K759" s="8">
        <f>I759/300</f>
        <v>0.78</v>
      </c>
      <c r="L759" s="5">
        <f>_xlfn.RANK.EQ(J759,$J$2:$J$1001,0)</f>
        <v>240</v>
      </c>
    </row>
    <row r="760" spans="1:12" x14ac:dyDescent="0.3">
      <c r="A760" s="5" t="s">
        <v>8</v>
      </c>
      <c r="B760" s="5" t="s">
        <v>24</v>
      </c>
      <c r="C760" s="5" t="s">
        <v>14</v>
      </c>
      <c r="D760" s="5" t="s">
        <v>11</v>
      </c>
      <c r="E760" s="5" t="s">
        <v>12</v>
      </c>
      <c r="F760" s="5">
        <v>76</v>
      </c>
      <c r="G760" s="5">
        <v>78</v>
      </c>
      <c r="H760" s="6">
        <v>80</v>
      </c>
      <c r="I760" s="5">
        <f>SUM(F760:H760)</f>
        <v>234</v>
      </c>
      <c r="J760" s="7">
        <f>AVERAGE(F760:H760)</f>
        <v>78</v>
      </c>
      <c r="K760" s="8">
        <f>I760/300</f>
        <v>0.78</v>
      </c>
      <c r="L760" s="5">
        <f>_xlfn.RANK.EQ(J760,$J$2:$J$1001,0)</f>
        <v>240</v>
      </c>
    </row>
    <row r="761" spans="1:12" x14ac:dyDescent="0.3">
      <c r="A761" s="5" t="s">
        <v>17</v>
      </c>
      <c r="B761" s="5" t="s">
        <v>21</v>
      </c>
      <c r="C761" s="5" t="s">
        <v>19</v>
      </c>
      <c r="D761" s="5" t="s">
        <v>20</v>
      </c>
      <c r="E761" s="5" t="s">
        <v>12</v>
      </c>
      <c r="F761" s="5">
        <v>81</v>
      </c>
      <c r="G761" s="5">
        <v>75</v>
      </c>
      <c r="H761" s="6">
        <v>78</v>
      </c>
      <c r="I761" s="5">
        <f>SUM(F761:H761)</f>
        <v>234</v>
      </c>
      <c r="J761" s="7">
        <f>AVERAGE(F761:H761)</f>
        <v>78</v>
      </c>
      <c r="K761" s="8">
        <f>I761/300</f>
        <v>0.78</v>
      </c>
      <c r="L761" s="5">
        <f>_xlfn.RANK.EQ(J761,$J$2:$J$1001,0)</f>
        <v>240</v>
      </c>
    </row>
    <row r="762" spans="1:12" x14ac:dyDescent="0.3">
      <c r="A762" s="5" t="s">
        <v>17</v>
      </c>
      <c r="B762" s="5" t="s">
        <v>13</v>
      </c>
      <c r="C762" s="5" t="s">
        <v>22</v>
      </c>
      <c r="D762" s="5" t="s">
        <v>11</v>
      </c>
      <c r="E762" s="5" t="s">
        <v>12</v>
      </c>
      <c r="F762" s="5">
        <v>90</v>
      </c>
      <c r="G762" s="5">
        <v>75</v>
      </c>
      <c r="H762" s="6">
        <v>69</v>
      </c>
      <c r="I762" s="5">
        <f>SUM(F762:H762)</f>
        <v>234</v>
      </c>
      <c r="J762" s="7">
        <f>AVERAGE(F762:H762)</f>
        <v>78</v>
      </c>
      <c r="K762" s="8">
        <f>I762/300</f>
        <v>0.78</v>
      </c>
      <c r="L762" s="5">
        <f>_xlfn.RANK.EQ(J762,$J$2:$J$1001,0)</f>
        <v>240</v>
      </c>
    </row>
    <row r="763" spans="1:12" x14ac:dyDescent="0.3">
      <c r="A763" s="5" t="s">
        <v>8</v>
      </c>
      <c r="B763" s="5" t="s">
        <v>13</v>
      </c>
      <c r="C763" s="5" t="s">
        <v>14</v>
      </c>
      <c r="D763" s="5" t="s">
        <v>11</v>
      </c>
      <c r="E763" s="5" t="s">
        <v>12</v>
      </c>
      <c r="F763" s="5">
        <v>73</v>
      </c>
      <c r="G763" s="5">
        <v>80</v>
      </c>
      <c r="H763" s="6">
        <v>82</v>
      </c>
      <c r="I763" s="5">
        <f>SUM(F763:H763)</f>
        <v>235</v>
      </c>
      <c r="J763" s="7">
        <f>AVERAGE(F763:H763)</f>
        <v>78.333333333333329</v>
      </c>
      <c r="K763" s="8">
        <f>I763/300</f>
        <v>0.78333333333333333</v>
      </c>
      <c r="L763" s="5">
        <f>_xlfn.RANK.EQ(J763,$J$2:$J$1001,0)</f>
        <v>231</v>
      </c>
    </row>
    <row r="764" spans="1:12" x14ac:dyDescent="0.3">
      <c r="A764" s="5" t="s">
        <v>17</v>
      </c>
      <c r="B764" s="5" t="s">
        <v>13</v>
      </c>
      <c r="C764" s="5" t="s">
        <v>22</v>
      </c>
      <c r="D764" s="5" t="s">
        <v>11</v>
      </c>
      <c r="E764" s="5" t="s">
        <v>12</v>
      </c>
      <c r="F764" s="5">
        <v>84</v>
      </c>
      <c r="G764" s="5">
        <v>77</v>
      </c>
      <c r="H764" s="6">
        <v>74</v>
      </c>
      <c r="I764" s="5">
        <f>SUM(F764:H764)</f>
        <v>235</v>
      </c>
      <c r="J764" s="7">
        <f>AVERAGE(F764:H764)</f>
        <v>78.333333333333329</v>
      </c>
      <c r="K764" s="8">
        <f>I764/300</f>
        <v>0.78333333333333333</v>
      </c>
      <c r="L764" s="5">
        <f>_xlfn.RANK.EQ(J764,$J$2:$J$1001,0)</f>
        <v>231</v>
      </c>
    </row>
    <row r="765" spans="1:12" x14ac:dyDescent="0.3">
      <c r="A765" s="5" t="s">
        <v>17</v>
      </c>
      <c r="B765" s="5" t="s">
        <v>21</v>
      </c>
      <c r="C765" s="5" t="s">
        <v>22</v>
      </c>
      <c r="D765" s="5" t="s">
        <v>20</v>
      </c>
      <c r="E765" s="5" t="s">
        <v>15</v>
      </c>
      <c r="F765" s="5">
        <v>78</v>
      </c>
      <c r="G765" s="5">
        <v>77</v>
      </c>
      <c r="H765" s="6">
        <v>80</v>
      </c>
      <c r="I765" s="5">
        <f>SUM(F765:H765)</f>
        <v>235</v>
      </c>
      <c r="J765" s="7">
        <f>AVERAGE(F765:H765)</f>
        <v>78.333333333333329</v>
      </c>
      <c r="K765" s="8">
        <f>I765/300</f>
        <v>0.78333333333333333</v>
      </c>
      <c r="L765" s="5">
        <f>_xlfn.RANK.EQ(J765,$J$2:$J$1001,0)</f>
        <v>231</v>
      </c>
    </row>
    <row r="766" spans="1:12" x14ac:dyDescent="0.3">
      <c r="A766" s="5" t="s">
        <v>8</v>
      </c>
      <c r="B766" s="5" t="s">
        <v>21</v>
      </c>
      <c r="C766" s="5" t="s">
        <v>16</v>
      </c>
      <c r="D766" s="5" t="s">
        <v>11</v>
      </c>
      <c r="E766" s="5" t="s">
        <v>12</v>
      </c>
      <c r="F766" s="5">
        <v>74</v>
      </c>
      <c r="G766" s="5">
        <v>79</v>
      </c>
      <c r="H766" s="6">
        <v>82</v>
      </c>
      <c r="I766" s="5">
        <f>SUM(F766:H766)</f>
        <v>235</v>
      </c>
      <c r="J766" s="7">
        <f>AVERAGE(F766:H766)</f>
        <v>78.333333333333329</v>
      </c>
      <c r="K766" s="8">
        <f>I766/300</f>
        <v>0.78333333333333333</v>
      </c>
      <c r="L766" s="5">
        <f>_xlfn.RANK.EQ(J766,$J$2:$J$1001,0)</f>
        <v>231</v>
      </c>
    </row>
    <row r="767" spans="1:12" x14ac:dyDescent="0.3">
      <c r="A767" s="5" t="s">
        <v>8</v>
      </c>
      <c r="B767" s="5" t="s">
        <v>24</v>
      </c>
      <c r="C767" s="5" t="s">
        <v>19</v>
      </c>
      <c r="D767" s="5" t="s">
        <v>20</v>
      </c>
      <c r="E767" s="5" t="s">
        <v>12</v>
      </c>
      <c r="F767" s="5">
        <v>70</v>
      </c>
      <c r="G767" s="5">
        <v>84</v>
      </c>
      <c r="H767" s="6">
        <v>81</v>
      </c>
      <c r="I767" s="5">
        <f>SUM(F767:H767)</f>
        <v>235</v>
      </c>
      <c r="J767" s="7">
        <f>AVERAGE(F767:H767)</f>
        <v>78.333333333333329</v>
      </c>
      <c r="K767" s="8">
        <f>I767/300</f>
        <v>0.78333333333333333</v>
      </c>
      <c r="L767" s="5">
        <f>_xlfn.RANK.EQ(J767,$J$2:$J$1001,0)</f>
        <v>231</v>
      </c>
    </row>
    <row r="768" spans="1:12" x14ac:dyDescent="0.3">
      <c r="A768" s="5" t="s">
        <v>8</v>
      </c>
      <c r="B768" s="5" t="s">
        <v>13</v>
      </c>
      <c r="C768" s="5" t="s">
        <v>22</v>
      </c>
      <c r="D768" s="5" t="s">
        <v>11</v>
      </c>
      <c r="E768" s="5" t="s">
        <v>12</v>
      </c>
      <c r="F768" s="5">
        <v>72</v>
      </c>
      <c r="G768" s="5">
        <v>80</v>
      </c>
      <c r="H768" s="6">
        <v>83</v>
      </c>
      <c r="I768" s="5">
        <f>SUM(F768:H768)</f>
        <v>235</v>
      </c>
      <c r="J768" s="7">
        <f>AVERAGE(F768:H768)</f>
        <v>78.333333333333329</v>
      </c>
      <c r="K768" s="8">
        <f>I768/300</f>
        <v>0.78333333333333333</v>
      </c>
      <c r="L768" s="5">
        <f>_xlfn.RANK.EQ(J768,$J$2:$J$1001,0)</f>
        <v>231</v>
      </c>
    </row>
    <row r="769" spans="1:12" x14ac:dyDescent="0.3">
      <c r="A769" s="5" t="s">
        <v>8</v>
      </c>
      <c r="B769" s="5" t="s">
        <v>21</v>
      </c>
      <c r="C769" s="5" t="s">
        <v>23</v>
      </c>
      <c r="D769" s="5" t="s">
        <v>20</v>
      </c>
      <c r="E769" s="5" t="s">
        <v>12</v>
      </c>
      <c r="F769" s="5">
        <v>67</v>
      </c>
      <c r="G769" s="5">
        <v>84</v>
      </c>
      <c r="H769" s="6">
        <v>84</v>
      </c>
      <c r="I769" s="5">
        <f>SUM(F769:H769)</f>
        <v>235</v>
      </c>
      <c r="J769" s="7">
        <f>AVERAGE(F769:H769)</f>
        <v>78.333333333333329</v>
      </c>
      <c r="K769" s="8">
        <f>I769/300</f>
        <v>0.78333333333333333</v>
      </c>
      <c r="L769" s="5">
        <f>_xlfn.RANK.EQ(J769,$J$2:$J$1001,0)</f>
        <v>231</v>
      </c>
    </row>
    <row r="770" spans="1:12" x14ac:dyDescent="0.3">
      <c r="A770" s="5" t="s">
        <v>8</v>
      </c>
      <c r="B770" s="5" t="s">
        <v>18</v>
      </c>
      <c r="C770" s="5" t="s">
        <v>14</v>
      </c>
      <c r="D770" s="5" t="s">
        <v>11</v>
      </c>
      <c r="E770" s="5" t="s">
        <v>12</v>
      </c>
      <c r="F770" s="5">
        <v>69</v>
      </c>
      <c r="G770" s="5">
        <v>84</v>
      </c>
      <c r="H770" s="6">
        <v>82</v>
      </c>
      <c r="I770" s="5">
        <f>SUM(F770:H770)</f>
        <v>235</v>
      </c>
      <c r="J770" s="7">
        <f>AVERAGE(F770:H770)</f>
        <v>78.333333333333329</v>
      </c>
      <c r="K770" s="8">
        <f>I770/300</f>
        <v>0.78333333333333333</v>
      </c>
      <c r="L770" s="5">
        <f>_xlfn.RANK.EQ(J770,$J$2:$J$1001,0)</f>
        <v>231</v>
      </c>
    </row>
    <row r="771" spans="1:12" x14ac:dyDescent="0.3">
      <c r="A771" s="5" t="s">
        <v>8</v>
      </c>
      <c r="B771" s="5" t="s">
        <v>21</v>
      </c>
      <c r="C771" s="5" t="s">
        <v>14</v>
      </c>
      <c r="D771" s="5" t="s">
        <v>11</v>
      </c>
      <c r="E771" s="5" t="s">
        <v>15</v>
      </c>
      <c r="F771" s="5">
        <v>75</v>
      </c>
      <c r="G771" s="5">
        <v>77</v>
      </c>
      <c r="H771" s="6">
        <v>83</v>
      </c>
      <c r="I771" s="5">
        <f>SUM(F771:H771)</f>
        <v>235</v>
      </c>
      <c r="J771" s="7">
        <f>AVERAGE(F771:H771)</f>
        <v>78.333333333333329</v>
      </c>
      <c r="K771" s="8">
        <f>I771/300</f>
        <v>0.78333333333333333</v>
      </c>
      <c r="L771" s="5">
        <f>_xlfn.RANK.EQ(J771,$J$2:$J$1001,0)</f>
        <v>231</v>
      </c>
    </row>
    <row r="772" spans="1:12" x14ac:dyDescent="0.3">
      <c r="A772" s="5" t="s">
        <v>17</v>
      </c>
      <c r="B772" s="5" t="s">
        <v>24</v>
      </c>
      <c r="C772" s="5" t="s">
        <v>14</v>
      </c>
      <c r="D772" s="5" t="s">
        <v>11</v>
      </c>
      <c r="E772" s="5" t="s">
        <v>12</v>
      </c>
      <c r="F772" s="5">
        <v>83</v>
      </c>
      <c r="G772" s="5">
        <v>80</v>
      </c>
      <c r="H772" s="6">
        <v>73</v>
      </c>
      <c r="I772" s="5">
        <f>SUM(F772:H772)</f>
        <v>236</v>
      </c>
      <c r="J772" s="7">
        <f>AVERAGE(F772:H772)</f>
        <v>78.666666666666671</v>
      </c>
      <c r="K772" s="8">
        <f>I772/300</f>
        <v>0.78666666666666663</v>
      </c>
      <c r="L772" s="5">
        <f>_xlfn.RANK.EQ(J772,$J$2:$J$1001,0)</f>
        <v>222</v>
      </c>
    </row>
    <row r="773" spans="1:12" x14ac:dyDescent="0.3">
      <c r="A773" s="5" t="s">
        <v>8</v>
      </c>
      <c r="B773" s="5" t="s">
        <v>9</v>
      </c>
      <c r="C773" s="5" t="s">
        <v>10</v>
      </c>
      <c r="D773" s="5" t="s">
        <v>11</v>
      </c>
      <c r="E773" s="5" t="s">
        <v>12</v>
      </c>
      <c r="F773" s="5">
        <v>67</v>
      </c>
      <c r="G773" s="5">
        <v>86</v>
      </c>
      <c r="H773" s="6">
        <v>83</v>
      </c>
      <c r="I773" s="5">
        <f>SUM(F773:H773)</f>
        <v>236</v>
      </c>
      <c r="J773" s="7">
        <f>AVERAGE(F773:H773)</f>
        <v>78.666666666666671</v>
      </c>
      <c r="K773" s="8">
        <f>I773/300</f>
        <v>0.78666666666666663</v>
      </c>
      <c r="L773" s="5">
        <f>_xlfn.RANK.EQ(J773,$J$2:$J$1001,0)</f>
        <v>222</v>
      </c>
    </row>
    <row r="774" spans="1:12" x14ac:dyDescent="0.3">
      <c r="A774" s="5" t="s">
        <v>17</v>
      </c>
      <c r="B774" s="5" t="s">
        <v>13</v>
      </c>
      <c r="C774" s="5" t="s">
        <v>14</v>
      </c>
      <c r="D774" s="5" t="s">
        <v>11</v>
      </c>
      <c r="E774" s="5" t="s">
        <v>15</v>
      </c>
      <c r="F774" s="5">
        <v>79</v>
      </c>
      <c r="G774" s="5">
        <v>79</v>
      </c>
      <c r="H774" s="6">
        <v>78</v>
      </c>
      <c r="I774" s="5">
        <f>SUM(F774:H774)</f>
        <v>236</v>
      </c>
      <c r="J774" s="7">
        <f>AVERAGE(F774:H774)</f>
        <v>78.666666666666671</v>
      </c>
      <c r="K774" s="8">
        <f>I774/300</f>
        <v>0.78666666666666663</v>
      </c>
      <c r="L774" s="5">
        <f>_xlfn.RANK.EQ(J774,$J$2:$J$1001,0)</f>
        <v>222</v>
      </c>
    </row>
    <row r="775" spans="1:12" x14ac:dyDescent="0.3">
      <c r="A775" s="5" t="s">
        <v>8</v>
      </c>
      <c r="B775" s="5" t="s">
        <v>21</v>
      </c>
      <c r="C775" s="5" t="s">
        <v>10</v>
      </c>
      <c r="D775" s="5" t="s">
        <v>20</v>
      </c>
      <c r="E775" s="5" t="s">
        <v>12</v>
      </c>
      <c r="F775" s="5">
        <v>73</v>
      </c>
      <c r="G775" s="5">
        <v>79</v>
      </c>
      <c r="H775" s="6">
        <v>84</v>
      </c>
      <c r="I775" s="5">
        <f>SUM(F775:H775)</f>
        <v>236</v>
      </c>
      <c r="J775" s="7">
        <f>AVERAGE(F775:H775)</f>
        <v>78.666666666666671</v>
      </c>
      <c r="K775" s="8">
        <f>I775/300</f>
        <v>0.78666666666666663</v>
      </c>
      <c r="L775" s="5">
        <f>_xlfn.RANK.EQ(J775,$J$2:$J$1001,0)</f>
        <v>222</v>
      </c>
    </row>
    <row r="776" spans="1:12" x14ac:dyDescent="0.3">
      <c r="A776" s="5" t="s">
        <v>8</v>
      </c>
      <c r="B776" s="5" t="s">
        <v>24</v>
      </c>
      <c r="C776" s="5" t="s">
        <v>23</v>
      </c>
      <c r="D776" s="5" t="s">
        <v>11</v>
      </c>
      <c r="E776" s="5" t="s">
        <v>12</v>
      </c>
      <c r="F776" s="5">
        <v>77</v>
      </c>
      <c r="G776" s="5">
        <v>79</v>
      </c>
      <c r="H776" s="6">
        <v>80</v>
      </c>
      <c r="I776" s="5">
        <f>SUM(F776:H776)</f>
        <v>236</v>
      </c>
      <c r="J776" s="7">
        <f>AVERAGE(F776:H776)</f>
        <v>78.666666666666671</v>
      </c>
      <c r="K776" s="8">
        <f>I776/300</f>
        <v>0.78666666666666663</v>
      </c>
      <c r="L776" s="5">
        <f>_xlfn.RANK.EQ(J776,$J$2:$J$1001,0)</f>
        <v>222</v>
      </c>
    </row>
    <row r="777" spans="1:12" x14ac:dyDescent="0.3">
      <c r="A777" s="5" t="s">
        <v>17</v>
      </c>
      <c r="B777" s="5" t="s">
        <v>24</v>
      </c>
      <c r="C777" s="5" t="s">
        <v>14</v>
      </c>
      <c r="D777" s="5" t="s">
        <v>11</v>
      </c>
      <c r="E777" s="5" t="s">
        <v>12</v>
      </c>
      <c r="F777" s="5">
        <v>86</v>
      </c>
      <c r="G777" s="5">
        <v>76</v>
      </c>
      <c r="H777" s="6">
        <v>74</v>
      </c>
      <c r="I777" s="5">
        <f>SUM(F777:H777)</f>
        <v>236</v>
      </c>
      <c r="J777" s="7">
        <f>AVERAGE(F777:H777)</f>
        <v>78.666666666666671</v>
      </c>
      <c r="K777" s="8">
        <f>I777/300</f>
        <v>0.78666666666666663</v>
      </c>
      <c r="L777" s="5">
        <f>_xlfn.RANK.EQ(J777,$J$2:$J$1001,0)</f>
        <v>222</v>
      </c>
    </row>
    <row r="778" spans="1:12" x14ac:dyDescent="0.3">
      <c r="A778" s="5" t="s">
        <v>8</v>
      </c>
      <c r="B778" s="5" t="s">
        <v>21</v>
      </c>
      <c r="C778" s="5" t="s">
        <v>23</v>
      </c>
      <c r="D778" s="5" t="s">
        <v>20</v>
      </c>
      <c r="E778" s="5" t="s">
        <v>15</v>
      </c>
      <c r="F778" s="5">
        <v>69</v>
      </c>
      <c r="G778" s="5">
        <v>86</v>
      </c>
      <c r="H778" s="6">
        <v>81</v>
      </c>
      <c r="I778" s="5">
        <f>SUM(F778:H778)</f>
        <v>236</v>
      </c>
      <c r="J778" s="7">
        <f>AVERAGE(F778:H778)</f>
        <v>78.666666666666671</v>
      </c>
      <c r="K778" s="8">
        <f>I778/300</f>
        <v>0.78666666666666663</v>
      </c>
      <c r="L778" s="5">
        <f>_xlfn.RANK.EQ(J778,$J$2:$J$1001,0)</f>
        <v>222</v>
      </c>
    </row>
    <row r="779" spans="1:12" x14ac:dyDescent="0.3">
      <c r="A779" s="5" t="s">
        <v>8</v>
      </c>
      <c r="B779" s="5" t="s">
        <v>18</v>
      </c>
      <c r="C779" s="5" t="s">
        <v>22</v>
      </c>
      <c r="D779" s="5" t="s">
        <v>11</v>
      </c>
      <c r="E779" s="5" t="s">
        <v>15</v>
      </c>
      <c r="F779" s="5">
        <v>75</v>
      </c>
      <c r="G779" s="5">
        <v>82</v>
      </c>
      <c r="H779" s="6">
        <v>79</v>
      </c>
      <c r="I779" s="5">
        <f>SUM(F779:H779)</f>
        <v>236</v>
      </c>
      <c r="J779" s="7">
        <f>AVERAGE(F779:H779)</f>
        <v>78.666666666666671</v>
      </c>
      <c r="K779" s="8">
        <f>I779/300</f>
        <v>0.78666666666666663</v>
      </c>
      <c r="L779" s="5">
        <f>_xlfn.RANK.EQ(J779,$J$2:$J$1001,0)</f>
        <v>222</v>
      </c>
    </row>
    <row r="780" spans="1:12" x14ac:dyDescent="0.3">
      <c r="A780" s="5" t="s">
        <v>8</v>
      </c>
      <c r="B780" s="5" t="s">
        <v>21</v>
      </c>
      <c r="C780" s="5" t="s">
        <v>14</v>
      </c>
      <c r="D780" s="5" t="s">
        <v>20</v>
      </c>
      <c r="E780" s="5" t="s">
        <v>15</v>
      </c>
      <c r="F780" s="5">
        <v>67</v>
      </c>
      <c r="G780" s="5">
        <v>86</v>
      </c>
      <c r="H780" s="6">
        <v>83</v>
      </c>
      <c r="I780" s="5">
        <f>SUM(F780:H780)</f>
        <v>236</v>
      </c>
      <c r="J780" s="7">
        <f>AVERAGE(F780:H780)</f>
        <v>78.666666666666671</v>
      </c>
      <c r="K780" s="8">
        <f>I780/300</f>
        <v>0.78666666666666663</v>
      </c>
      <c r="L780" s="5">
        <f>_xlfn.RANK.EQ(J780,$J$2:$J$1001,0)</f>
        <v>222</v>
      </c>
    </row>
    <row r="781" spans="1:12" x14ac:dyDescent="0.3">
      <c r="A781" s="5" t="s">
        <v>8</v>
      </c>
      <c r="B781" s="5" t="s">
        <v>13</v>
      </c>
      <c r="C781" s="5" t="s">
        <v>19</v>
      </c>
      <c r="D781" s="5" t="s">
        <v>11</v>
      </c>
      <c r="E781" s="5" t="s">
        <v>15</v>
      </c>
      <c r="F781" s="5">
        <v>67</v>
      </c>
      <c r="G781" s="5">
        <v>84</v>
      </c>
      <c r="H781" s="6">
        <v>86</v>
      </c>
      <c r="I781" s="5">
        <f>SUM(F781:H781)</f>
        <v>237</v>
      </c>
      <c r="J781" s="7">
        <f>AVERAGE(F781:H781)</f>
        <v>79</v>
      </c>
      <c r="K781" s="8">
        <f>I781/300</f>
        <v>0.79</v>
      </c>
      <c r="L781" s="5">
        <f>_xlfn.RANK.EQ(J781,$J$2:$J$1001,0)</f>
        <v>215</v>
      </c>
    </row>
    <row r="782" spans="1:12" x14ac:dyDescent="0.3">
      <c r="A782" s="5" t="s">
        <v>17</v>
      </c>
      <c r="B782" s="5" t="s">
        <v>24</v>
      </c>
      <c r="C782" s="5" t="s">
        <v>22</v>
      </c>
      <c r="D782" s="5" t="s">
        <v>11</v>
      </c>
      <c r="E782" s="5" t="s">
        <v>15</v>
      </c>
      <c r="F782" s="5">
        <v>81</v>
      </c>
      <c r="G782" s="5">
        <v>80</v>
      </c>
      <c r="H782" s="6">
        <v>76</v>
      </c>
      <c r="I782" s="5">
        <f>SUM(F782:H782)</f>
        <v>237</v>
      </c>
      <c r="J782" s="7">
        <f>AVERAGE(F782:H782)</f>
        <v>79</v>
      </c>
      <c r="K782" s="8">
        <f>I782/300</f>
        <v>0.79</v>
      </c>
      <c r="L782" s="5">
        <f>_xlfn.RANK.EQ(J782,$J$2:$J$1001,0)</f>
        <v>215</v>
      </c>
    </row>
    <row r="783" spans="1:12" x14ac:dyDescent="0.3">
      <c r="A783" s="5" t="s">
        <v>8</v>
      </c>
      <c r="B783" s="5" t="s">
        <v>21</v>
      </c>
      <c r="C783" s="5" t="s">
        <v>14</v>
      </c>
      <c r="D783" s="5" t="s">
        <v>20</v>
      </c>
      <c r="E783" s="5" t="s">
        <v>12</v>
      </c>
      <c r="F783" s="5">
        <v>71</v>
      </c>
      <c r="G783" s="5">
        <v>83</v>
      </c>
      <c r="H783" s="6">
        <v>83</v>
      </c>
      <c r="I783" s="5">
        <f>SUM(F783:H783)</f>
        <v>237</v>
      </c>
      <c r="J783" s="7">
        <f>AVERAGE(F783:H783)</f>
        <v>79</v>
      </c>
      <c r="K783" s="8">
        <f>I783/300</f>
        <v>0.79</v>
      </c>
      <c r="L783" s="5">
        <f>_xlfn.RANK.EQ(J783,$J$2:$J$1001,0)</f>
        <v>215</v>
      </c>
    </row>
    <row r="784" spans="1:12" x14ac:dyDescent="0.3">
      <c r="A784" s="5" t="s">
        <v>17</v>
      </c>
      <c r="B784" s="5" t="s">
        <v>24</v>
      </c>
      <c r="C784" s="5" t="s">
        <v>19</v>
      </c>
      <c r="D784" s="5" t="s">
        <v>11</v>
      </c>
      <c r="E784" s="5" t="s">
        <v>12</v>
      </c>
      <c r="F784" s="5">
        <v>87</v>
      </c>
      <c r="G784" s="5">
        <v>74</v>
      </c>
      <c r="H784" s="6">
        <v>76</v>
      </c>
      <c r="I784" s="5">
        <f>SUM(F784:H784)</f>
        <v>237</v>
      </c>
      <c r="J784" s="7">
        <f>AVERAGE(F784:H784)</f>
        <v>79</v>
      </c>
      <c r="K784" s="8">
        <f>I784/300</f>
        <v>0.79</v>
      </c>
      <c r="L784" s="5">
        <f>_xlfn.RANK.EQ(J784,$J$2:$J$1001,0)</f>
        <v>215</v>
      </c>
    </row>
    <row r="785" spans="1:12" x14ac:dyDescent="0.3">
      <c r="A785" s="5" t="s">
        <v>8</v>
      </c>
      <c r="B785" s="5" t="s">
        <v>13</v>
      </c>
      <c r="C785" s="5" t="s">
        <v>19</v>
      </c>
      <c r="D785" s="5" t="s">
        <v>11</v>
      </c>
      <c r="E785" s="5" t="s">
        <v>12</v>
      </c>
      <c r="F785" s="5">
        <v>81</v>
      </c>
      <c r="G785" s="5">
        <v>77</v>
      </c>
      <c r="H785" s="6">
        <v>79</v>
      </c>
      <c r="I785" s="5">
        <f>SUM(F785:H785)</f>
        <v>237</v>
      </c>
      <c r="J785" s="7">
        <f>AVERAGE(F785:H785)</f>
        <v>79</v>
      </c>
      <c r="K785" s="8">
        <f>I785/300</f>
        <v>0.79</v>
      </c>
      <c r="L785" s="5">
        <f>_xlfn.RANK.EQ(J785,$J$2:$J$1001,0)</f>
        <v>215</v>
      </c>
    </row>
    <row r="786" spans="1:12" x14ac:dyDescent="0.3">
      <c r="A786" s="5" t="s">
        <v>17</v>
      </c>
      <c r="B786" s="5" t="s">
        <v>21</v>
      </c>
      <c r="C786" s="5" t="s">
        <v>23</v>
      </c>
      <c r="D786" s="5" t="s">
        <v>11</v>
      </c>
      <c r="E786" s="5" t="s">
        <v>15</v>
      </c>
      <c r="F786" s="5">
        <v>88</v>
      </c>
      <c r="G786" s="5">
        <v>74</v>
      </c>
      <c r="H786" s="6">
        <v>75</v>
      </c>
      <c r="I786" s="5">
        <f>SUM(F786:H786)</f>
        <v>237</v>
      </c>
      <c r="J786" s="7">
        <f>AVERAGE(F786:H786)</f>
        <v>79</v>
      </c>
      <c r="K786" s="8">
        <f>I786/300</f>
        <v>0.79</v>
      </c>
      <c r="L786" s="5">
        <f>_xlfn.RANK.EQ(J786,$J$2:$J$1001,0)</f>
        <v>215</v>
      </c>
    </row>
    <row r="787" spans="1:12" x14ac:dyDescent="0.3">
      <c r="A787" s="5" t="s">
        <v>17</v>
      </c>
      <c r="B787" s="5" t="s">
        <v>21</v>
      </c>
      <c r="C787" s="5" t="s">
        <v>23</v>
      </c>
      <c r="D787" s="5" t="s">
        <v>11</v>
      </c>
      <c r="E787" s="5" t="s">
        <v>12</v>
      </c>
      <c r="F787" s="5">
        <v>81</v>
      </c>
      <c r="G787" s="5">
        <v>78</v>
      </c>
      <c r="H787" s="6">
        <v>78</v>
      </c>
      <c r="I787" s="5">
        <f>SUM(F787:H787)</f>
        <v>237</v>
      </c>
      <c r="J787" s="7">
        <f>AVERAGE(F787:H787)</f>
        <v>79</v>
      </c>
      <c r="K787" s="8">
        <f>I787/300</f>
        <v>0.79</v>
      </c>
      <c r="L787" s="5">
        <f>_xlfn.RANK.EQ(J787,$J$2:$J$1001,0)</f>
        <v>215</v>
      </c>
    </row>
    <row r="788" spans="1:12" x14ac:dyDescent="0.3">
      <c r="A788" s="5" t="s">
        <v>8</v>
      </c>
      <c r="B788" s="5" t="s">
        <v>21</v>
      </c>
      <c r="C788" s="5" t="s">
        <v>19</v>
      </c>
      <c r="D788" s="5" t="s">
        <v>11</v>
      </c>
      <c r="E788" s="5" t="s">
        <v>12</v>
      </c>
      <c r="F788" s="5">
        <v>74</v>
      </c>
      <c r="G788" s="5">
        <v>81</v>
      </c>
      <c r="H788" s="6">
        <v>83</v>
      </c>
      <c r="I788" s="5">
        <f>SUM(F788:H788)</f>
        <v>238</v>
      </c>
      <c r="J788" s="7">
        <f>AVERAGE(F788:H788)</f>
        <v>79.333333333333329</v>
      </c>
      <c r="K788" s="8">
        <f>I788/300</f>
        <v>0.79333333333333333</v>
      </c>
      <c r="L788" s="5">
        <f>_xlfn.RANK.EQ(J788,$J$2:$J$1001,0)</f>
        <v>207</v>
      </c>
    </row>
    <row r="789" spans="1:12" x14ac:dyDescent="0.3">
      <c r="A789" s="5" t="s">
        <v>17</v>
      </c>
      <c r="B789" s="5" t="s">
        <v>21</v>
      </c>
      <c r="C789" s="5" t="s">
        <v>16</v>
      </c>
      <c r="D789" s="5" t="s">
        <v>11</v>
      </c>
      <c r="E789" s="5" t="s">
        <v>12</v>
      </c>
      <c r="F789" s="5">
        <v>82</v>
      </c>
      <c r="G789" s="5">
        <v>82</v>
      </c>
      <c r="H789" s="6">
        <v>74</v>
      </c>
      <c r="I789" s="5">
        <f>SUM(F789:H789)</f>
        <v>238</v>
      </c>
      <c r="J789" s="7">
        <f>AVERAGE(F789:H789)</f>
        <v>79.333333333333329</v>
      </c>
      <c r="K789" s="8">
        <f>I789/300</f>
        <v>0.79333333333333333</v>
      </c>
      <c r="L789" s="5">
        <f>_xlfn.RANK.EQ(J789,$J$2:$J$1001,0)</f>
        <v>207</v>
      </c>
    </row>
    <row r="790" spans="1:12" x14ac:dyDescent="0.3">
      <c r="A790" s="5" t="s">
        <v>17</v>
      </c>
      <c r="B790" s="5" t="s">
        <v>21</v>
      </c>
      <c r="C790" s="5" t="s">
        <v>14</v>
      </c>
      <c r="D790" s="5" t="s">
        <v>11</v>
      </c>
      <c r="E790" s="5" t="s">
        <v>15</v>
      </c>
      <c r="F790" s="5">
        <v>76</v>
      </c>
      <c r="G790" s="5">
        <v>83</v>
      </c>
      <c r="H790" s="6">
        <v>79</v>
      </c>
      <c r="I790" s="5">
        <f>SUM(F790:H790)</f>
        <v>238</v>
      </c>
      <c r="J790" s="7">
        <f>AVERAGE(F790:H790)</f>
        <v>79.333333333333329</v>
      </c>
      <c r="K790" s="8">
        <f>I790/300</f>
        <v>0.79333333333333333</v>
      </c>
      <c r="L790" s="5">
        <f>_xlfn.RANK.EQ(J790,$J$2:$J$1001,0)</f>
        <v>207</v>
      </c>
    </row>
    <row r="791" spans="1:12" x14ac:dyDescent="0.3">
      <c r="A791" s="5" t="s">
        <v>8</v>
      </c>
      <c r="B791" s="5" t="s">
        <v>13</v>
      </c>
      <c r="C791" s="5" t="s">
        <v>16</v>
      </c>
      <c r="D791" s="5" t="s">
        <v>11</v>
      </c>
      <c r="E791" s="5" t="s">
        <v>15</v>
      </c>
      <c r="F791" s="5">
        <v>69</v>
      </c>
      <c r="G791" s="5">
        <v>84</v>
      </c>
      <c r="H791" s="6">
        <v>85</v>
      </c>
      <c r="I791" s="5">
        <f>SUM(F791:H791)</f>
        <v>238</v>
      </c>
      <c r="J791" s="7">
        <f>AVERAGE(F791:H791)</f>
        <v>79.333333333333329</v>
      </c>
      <c r="K791" s="8">
        <f>I791/300</f>
        <v>0.79333333333333333</v>
      </c>
      <c r="L791" s="5">
        <f>_xlfn.RANK.EQ(J791,$J$2:$J$1001,0)</f>
        <v>207</v>
      </c>
    </row>
    <row r="792" spans="1:12" x14ac:dyDescent="0.3">
      <c r="A792" s="5" t="s">
        <v>17</v>
      </c>
      <c r="B792" s="5" t="s">
        <v>21</v>
      </c>
      <c r="C792" s="5" t="s">
        <v>23</v>
      </c>
      <c r="D792" s="5" t="s">
        <v>20</v>
      </c>
      <c r="E792" s="5" t="s">
        <v>15</v>
      </c>
      <c r="F792" s="5">
        <v>80</v>
      </c>
      <c r="G792" s="5">
        <v>79</v>
      </c>
      <c r="H792" s="6">
        <v>79</v>
      </c>
      <c r="I792" s="5">
        <f>SUM(F792:H792)</f>
        <v>238</v>
      </c>
      <c r="J792" s="7">
        <f>AVERAGE(F792:H792)</f>
        <v>79.333333333333329</v>
      </c>
      <c r="K792" s="8">
        <f>I792/300</f>
        <v>0.79333333333333333</v>
      </c>
      <c r="L792" s="5">
        <f>_xlfn.RANK.EQ(J792,$J$2:$J$1001,0)</f>
        <v>207</v>
      </c>
    </row>
    <row r="793" spans="1:12" x14ac:dyDescent="0.3">
      <c r="A793" s="5" t="s">
        <v>8</v>
      </c>
      <c r="B793" s="5" t="s">
        <v>9</v>
      </c>
      <c r="C793" s="5" t="s">
        <v>23</v>
      </c>
      <c r="D793" s="5" t="s">
        <v>11</v>
      </c>
      <c r="E793" s="5" t="s">
        <v>12</v>
      </c>
      <c r="F793" s="5">
        <v>67</v>
      </c>
      <c r="G793" s="5">
        <v>89</v>
      </c>
      <c r="H793" s="6">
        <v>82</v>
      </c>
      <c r="I793" s="5">
        <f>SUM(F793:H793)</f>
        <v>238</v>
      </c>
      <c r="J793" s="7">
        <f>AVERAGE(F793:H793)</f>
        <v>79.333333333333329</v>
      </c>
      <c r="K793" s="8">
        <f>I793/300</f>
        <v>0.79333333333333333</v>
      </c>
      <c r="L793" s="5">
        <f>_xlfn.RANK.EQ(J793,$J$2:$J$1001,0)</f>
        <v>207</v>
      </c>
    </row>
    <row r="794" spans="1:12" x14ac:dyDescent="0.3">
      <c r="A794" s="5" t="s">
        <v>8</v>
      </c>
      <c r="B794" s="5" t="s">
        <v>13</v>
      </c>
      <c r="C794" s="5" t="s">
        <v>19</v>
      </c>
      <c r="D794" s="5" t="s">
        <v>11</v>
      </c>
      <c r="E794" s="5" t="s">
        <v>15</v>
      </c>
      <c r="F794" s="5">
        <v>68</v>
      </c>
      <c r="G794" s="5">
        <v>86</v>
      </c>
      <c r="H794" s="6">
        <v>84</v>
      </c>
      <c r="I794" s="5">
        <f>SUM(F794:H794)</f>
        <v>238</v>
      </c>
      <c r="J794" s="7">
        <f>AVERAGE(F794:H794)</f>
        <v>79.333333333333329</v>
      </c>
      <c r="K794" s="8">
        <f>I794/300</f>
        <v>0.79333333333333333</v>
      </c>
      <c r="L794" s="5">
        <f>_xlfn.RANK.EQ(J794,$J$2:$J$1001,0)</f>
        <v>207</v>
      </c>
    </row>
    <row r="795" spans="1:12" x14ac:dyDescent="0.3">
      <c r="A795" s="5" t="s">
        <v>17</v>
      </c>
      <c r="B795" s="5" t="s">
        <v>24</v>
      </c>
      <c r="C795" s="5" t="s">
        <v>22</v>
      </c>
      <c r="D795" s="5" t="s">
        <v>11</v>
      </c>
      <c r="E795" s="5" t="s">
        <v>12</v>
      </c>
      <c r="F795" s="5">
        <v>94</v>
      </c>
      <c r="G795" s="5">
        <v>73</v>
      </c>
      <c r="H795" s="6">
        <v>71</v>
      </c>
      <c r="I795" s="5">
        <f>SUM(F795:H795)</f>
        <v>238</v>
      </c>
      <c r="J795" s="7">
        <f>AVERAGE(F795:H795)</f>
        <v>79.333333333333329</v>
      </c>
      <c r="K795" s="8">
        <f>I795/300</f>
        <v>0.79333333333333333</v>
      </c>
      <c r="L795" s="5">
        <f>_xlfn.RANK.EQ(J795,$J$2:$J$1001,0)</f>
        <v>207</v>
      </c>
    </row>
    <row r="796" spans="1:12" x14ac:dyDescent="0.3">
      <c r="A796" s="5" t="s">
        <v>17</v>
      </c>
      <c r="B796" s="5" t="s">
        <v>18</v>
      </c>
      <c r="C796" s="5" t="s">
        <v>10</v>
      </c>
      <c r="D796" s="5" t="s">
        <v>11</v>
      </c>
      <c r="E796" s="5" t="s">
        <v>15</v>
      </c>
      <c r="F796" s="5">
        <v>80</v>
      </c>
      <c r="G796" s="5">
        <v>78</v>
      </c>
      <c r="H796" s="6">
        <v>81</v>
      </c>
      <c r="I796" s="5">
        <f>SUM(F796:H796)</f>
        <v>239</v>
      </c>
      <c r="J796" s="7">
        <f>AVERAGE(F796:H796)</f>
        <v>79.666666666666671</v>
      </c>
      <c r="K796" s="8">
        <f>I796/300</f>
        <v>0.79666666666666663</v>
      </c>
      <c r="L796" s="5">
        <f>_xlfn.RANK.EQ(J796,$J$2:$J$1001,0)</f>
        <v>199</v>
      </c>
    </row>
    <row r="797" spans="1:12" x14ac:dyDescent="0.3">
      <c r="A797" s="5" t="s">
        <v>8</v>
      </c>
      <c r="B797" s="5" t="s">
        <v>21</v>
      </c>
      <c r="C797" s="5" t="s">
        <v>10</v>
      </c>
      <c r="D797" s="5" t="s">
        <v>11</v>
      </c>
      <c r="E797" s="5" t="s">
        <v>12</v>
      </c>
      <c r="F797" s="5">
        <v>78</v>
      </c>
      <c r="G797" s="5">
        <v>82</v>
      </c>
      <c r="H797" s="6">
        <v>79</v>
      </c>
      <c r="I797" s="5">
        <f>SUM(F797:H797)</f>
        <v>239</v>
      </c>
      <c r="J797" s="7">
        <f>AVERAGE(F797:H797)</f>
        <v>79.666666666666671</v>
      </c>
      <c r="K797" s="8">
        <f>I797/300</f>
        <v>0.79666666666666663</v>
      </c>
      <c r="L797" s="5">
        <f>_xlfn.RANK.EQ(J797,$J$2:$J$1001,0)</f>
        <v>199</v>
      </c>
    </row>
    <row r="798" spans="1:12" x14ac:dyDescent="0.3">
      <c r="A798" s="5" t="s">
        <v>17</v>
      </c>
      <c r="B798" s="5" t="s">
        <v>21</v>
      </c>
      <c r="C798" s="5" t="s">
        <v>14</v>
      </c>
      <c r="D798" s="5" t="s">
        <v>11</v>
      </c>
      <c r="E798" s="5" t="s">
        <v>12</v>
      </c>
      <c r="F798" s="5">
        <v>88</v>
      </c>
      <c r="G798" s="5">
        <v>73</v>
      </c>
      <c r="H798" s="6">
        <v>78</v>
      </c>
      <c r="I798" s="5">
        <f>SUM(F798:H798)</f>
        <v>239</v>
      </c>
      <c r="J798" s="7">
        <f>AVERAGE(F798:H798)</f>
        <v>79.666666666666671</v>
      </c>
      <c r="K798" s="8">
        <f>I798/300</f>
        <v>0.79666666666666663</v>
      </c>
      <c r="L798" s="5">
        <f>_xlfn.RANK.EQ(J798,$J$2:$J$1001,0)</f>
        <v>199</v>
      </c>
    </row>
    <row r="799" spans="1:12" x14ac:dyDescent="0.3">
      <c r="A799" s="5" t="s">
        <v>17</v>
      </c>
      <c r="B799" s="5" t="s">
        <v>24</v>
      </c>
      <c r="C799" s="5" t="s">
        <v>19</v>
      </c>
      <c r="D799" s="5" t="s">
        <v>11</v>
      </c>
      <c r="E799" s="5" t="s">
        <v>12</v>
      </c>
      <c r="F799" s="5">
        <v>89</v>
      </c>
      <c r="G799" s="5">
        <v>76</v>
      </c>
      <c r="H799" s="6">
        <v>74</v>
      </c>
      <c r="I799" s="5">
        <f>SUM(F799:H799)</f>
        <v>239</v>
      </c>
      <c r="J799" s="7">
        <f>AVERAGE(F799:H799)</f>
        <v>79.666666666666671</v>
      </c>
      <c r="K799" s="8">
        <f>I799/300</f>
        <v>0.79666666666666663</v>
      </c>
      <c r="L799" s="5">
        <f>_xlfn.RANK.EQ(J799,$J$2:$J$1001,0)</f>
        <v>199</v>
      </c>
    </row>
    <row r="800" spans="1:12" x14ac:dyDescent="0.3">
      <c r="A800" s="5" t="s">
        <v>17</v>
      </c>
      <c r="B800" s="5" t="s">
        <v>9</v>
      </c>
      <c r="C800" s="5" t="s">
        <v>10</v>
      </c>
      <c r="D800" s="5" t="s">
        <v>20</v>
      </c>
      <c r="E800" s="5" t="s">
        <v>12</v>
      </c>
      <c r="F800" s="5">
        <v>88</v>
      </c>
      <c r="G800" s="5">
        <v>75</v>
      </c>
      <c r="H800" s="6">
        <v>76</v>
      </c>
      <c r="I800" s="5">
        <f>SUM(F800:H800)</f>
        <v>239</v>
      </c>
      <c r="J800" s="7">
        <f>AVERAGE(F800:H800)</f>
        <v>79.666666666666671</v>
      </c>
      <c r="K800" s="8">
        <f>I800/300</f>
        <v>0.79666666666666663</v>
      </c>
      <c r="L800" s="5">
        <f>_xlfn.RANK.EQ(J800,$J$2:$J$1001,0)</f>
        <v>199</v>
      </c>
    </row>
    <row r="801" spans="1:12" x14ac:dyDescent="0.3">
      <c r="A801" s="5" t="s">
        <v>8</v>
      </c>
      <c r="B801" s="5" t="s">
        <v>9</v>
      </c>
      <c r="C801" s="5" t="s">
        <v>19</v>
      </c>
      <c r="D801" s="5" t="s">
        <v>11</v>
      </c>
      <c r="E801" s="5" t="s">
        <v>12</v>
      </c>
      <c r="F801" s="5">
        <v>82</v>
      </c>
      <c r="G801" s="5">
        <v>80</v>
      </c>
      <c r="H801" s="6">
        <v>77</v>
      </c>
      <c r="I801" s="5">
        <f>SUM(F801:H801)</f>
        <v>239</v>
      </c>
      <c r="J801" s="7">
        <f>AVERAGE(F801:H801)</f>
        <v>79.666666666666671</v>
      </c>
      <c r="K801" s="8">
        <f>I801/300</f>
        <v>0.79666666666666663</v>
      </c>
      <c r="L801" s="5">
        <f>_xlfn.RANK.EQ(J801,$J$2:$J$1001,0)</f>
        <v>199</v>
      </c>
    </row>
    <row r="802" spans="1:12" x14ac:dyDescent="0.3">
      <c r="A802" s="5" t="s">
        <v>8</v>
      </c>
      <c r="B802" s="5" t="s">
        <v>21</v>
      </c>
      <c r="C802" s="5" t="s">
        <v>22</v>
      </c>
      <c r="D802" s="5" t="s">
        <v>11</v>
      </c>
      <c r="E802" s="5" t="s">
        <v>12</v>
      </c>
      <c r="F802" s="5">
        <v>78</v>
      </c>
      <c r="G802" s="5">
        <v>81</v>
      </c>
      <c r="H802" s="6">
        <v>80</v>
      </c>
      <c r="I802" s="5">
        <f>SUM(F802:H802)</f>
        <v>239</v>
      </c>
      <c r="J802" s="7">
        <f>AVERAGE(F802:H802)</f>
        <v>79.666666666666671</v>
      </c>
      <c r="K802" s="8">
        <f>I802/300</f>
        <v>0.79666666666666663</v>
      </c>
      <c r="L802" s="5">
        <f>_xlfn.RANK.EQ(J802,$J$2:$J$1001,0)</f>
        <v>199</v>
      </c>
    </row>
    <row r="803" spans="1:12" x14ac:dyDescent="0.3">
      <c r="A803" s="5" t="s">
        <v>8</v>
      </c>
      <c r="B803" s="5" t="s">
        <v>9</v>
      </c>
      <c r="C803" s="5" t="s">
        <v>10</v>
      </c>
      <c r="D803" s="5" t="s">
        <v>11</v>
      </c>
      <c r="E803" s="5" t="s">
        <v>12</v>
      </c>
      <c r="F803" s="5">
        <v>75</v>
      </c>
      <c r="G803" s="5">
        <v>84</v>
      </c>
      <c r="H803" s="6">
        <v>80</v>
      </c>
      <c r="I803" s="5">
        <f>SUM(F803:H803)</f>
        <v>239</v>
      </c>
      <c r="J803" s="7">
        <f>AVERAGE(F803:H803)</f>
        <v>79.666666666666671</v>
      </c>
      <c r="K803" s="8">
        <f>I803/300</f>
        <v>0.79666666666666663</v>
      </c>
      <c r="L803" s="5">
        <f>_xlfn.RANK.EQ(J803,$J$2:$J$1001,0)</f>
        <v>199</v>
      </c>
    </row>
    <row r="804" spans="1:12" x14ac:dyDescent="0.3">
      <c r="A804" s="5" t="s">
        <v>8</v>
      </c>
      <c r="B804" s="5" t="s">
        <v>13</v>
      </c>
      <c r="C804" s="5" t="s">
        <v>14</v>
      </c>
      <c r="D804" s="5" t="s">
        <v>11</v>
      </c>
      <c r="E804" s="5" t="s">
        <v>15</v>
      </c>
      <c r="F804" s="5">
        <v>75</v>
      </c>
      <c r="G804" s="5">
        <v>81</v>
      </c>
      <c r="H804" s="6">
        <v>84</v>
      </c>
      <c r="I804" s="5">
        <f>SUM(F804:H804)</f>
        <v>240</v>
      </c>
      <c r="J804" s="7">
        <f>AVERAGE(F804:H804)</f>
        <v>80</v>
      </c>
      <c r="K804" s="8">
        <f>I804/300</f>
        <v>0.8</v>
      </c>
      <c r="L804" s="5">
        <f>_xlfn.RANK.EQ(J804,$J$2:$J$1001,0)</f>
        <v>195</v>
      </c>
    </row>
    <row r="805" spans="1:12" x14ac:dyDescent="0.3">
      <c r="A805" s="5" t="s">
        <v>17</v>
      </c>
      <c r="B805" s="5" t="s">
        <v>18</v>
      </c>
      <c r="C805" s="5" t="s">
        <v>14</v>
      </c>
      <c r="D805" s="5" t="s">
        <v>20</v>
      </c>
      <c r="E805" s="5" t="s">
        <v>15</v>
      </c>
      <c r="F805" s="5">
        <v>81</v>
      </c>
      <c r="G805" s="5">
        <v>78</v>
      </c>
      <c r="H805" s="6">
        <v>81</v>
      </c>
      <c r="I805" s="5">
        <f>SUM(F805:H805)</f>
        <v>240</v>
      </c>
      <c r="J805" s="7">
        <f>AVERAGE(F805:H805)</f>
        <v>80</v>
      </c>
      <c r="K805" s="8">
        <f>I805/300</f>
        <v>0.8</v>
      </c>
      <c r="L805" s="5">
        <f>_xlfn.RANK.EQ(J805,$J$2:$J$1001,0)</f>
        <v>195</v>
      </c>
    </row>
    <row r="806" spans="1:12" x14ac:dyDescent="0.3">
      <c r="A806" s="5" t="s">
        <v>8</v>
      </c>
      <c r="B806" s="5" t="s">
        <v>24</v>
      </c>
      <c r="C806" s="5" t="s">
        <v>22</v>
      </c>
      <c r="D806" s="5" t="s">
        <v>11</v>
      </c>
      <c r="E806" s="5" t="s">
        <v>12</v>
      </c>
      <c r="F806" s="5">
        <v>75</v>
      </c>
      <c r="G806" s="5">
        <v>86</v>
      </c>
      <c r="H806" s="6">
        <v>79</v>
      </c>
      <c r="I806" s="5">
        <f>SUM(F806:H806)</f>
        <v>240</v>
      </c>
      <c r="J806" s="7">
        <f>AVERAGE(F806:H806)</f>
        <v>80</v>
      </c>
      <c r="K806" s="8">
        <f>I806/300</f>
        <v>0.8</v>
      </c>
      <c r="L806" s="5">
        <f>_xlfn.RANK.EQ(J806,$J$2:$J$1001,0)</f>
        <v>195</v>
      </c>
    </row>
    <row r="807" spans="1:12" x14ac:dyDescent="0.3">
      <c r="A807" s="5" t="s">
        <v>8</v>
      </c>
      <c r="B807" s="5" t="s">
        <v>9</v>
      </c>
      <c r="C807" s="5" t="s">
        <v>22</v>
      </c>
      <c r="D807" s="5" t="s">
        <v>20</v>
      </c>
      <c r="E807" s="5" t="s">
        <v>12</v>
      </c>
      <c r="F807" s="5">
        <v>71</v>
      </c>
      <c r="G807" s="5">
        <v>87</v>
      </c>
      <c r="H807" s="6">
        <v>82</v>
      </c>
      <c r="I807" s="5">
        <f>SUM(F807:H807)</f>
        <v>240</v>
      </c>
      <c r="J807" s="7">
        <f>AVERAGE(F807:H807)</f>
        <v>80</v>
      </c>
      <c r="K807" s="8">
        <f>I807/300</f>
        <v>0.8</v>
      </c>
      <c r="L807" s="5">
        <f>_xlfn.RANK.EQ(J807,$J$2:$J$1001,0)</f>
        <v>195</v>
      </c>
    </row>
    <row r="808" spans="1:12" x14ac:dyDescent="0.3">
      <c r="A808" s="5" t="s">
        <v>17</v>
      </c>
      <c r="B808" s="5" t="s">
        <v>24</v>
      </c>
      <c r="C808" s="5" t="s">
        <v>19</v>
      </c>
      <c r="D808" s="5" t="s">
        <v>11</v>
      </c>
      <c r="E808" s="5" t="s">
        <v>15</v>
      </c>
      <c r="F808" s="5">
        <v>81</v>
      </c>
      <c r="G808" s="5">
        <v>81</v>
      </c>
      <c r="H808" s="6">
        <v>79</v>
      </c>
      <c r="I808" s="5">
        <f>SUM(F808:H808)</f>
        <v>241</v>
      </c>
      <c r="J808" s="7">
        <f>AVERAGE(F808:H808)</f>
        <v>80.333333333333329</v>
      </c>
      <c r="K808" s="8">
        <f>I808/300</f>
        <v>0.80333333333333334</v>
      </c>
      <c r="L808" s="5">
        <f>_xlfn.RANK.EQ(J808,$J$2:$J$1001,0)</f>
        <v>187</v>
      </c>
    </row>
    <row r="809" spans="1:12" x14ac:dyDescent="0.3">
      <c r="A809" s="5" t="s">
        <v>17</v>
      </c>
      <c r="B809" s="5" t="s">
        <v>21</v>
      </c>
      <c r="C809" s="5" t="s">
        <v>22</v>
      </c>
      <c r="D809" s="5" t="s">
        <v>11</v>
      </c>
      <c r="E809" s="5" t="s">
        <v>12</v>
      </c>
      <c r="F809" s="5">
        <v>88</v>
      </c>
      <c r="G809" s="5">
        <v>78</v>
      </c>
      <c r="H809" s="6">
        <v>75</v>
      </c>
      <c r="I809" s="5">
        <f>SUM(F809:H809)</f>
        <v>241</v>
      </c>
      <c r="J809" s="7">
        <f>AVERAGE(F809:H809)</f>
        <v>80.333333333333329</v>
      </c>
      <c r="K809" s="8">
        <f>I809/300</f>
        <v>0.80333333333333334</v>
      </c>
      <c r="L809" s="5">
        <f>_xlfn.RANK.EQ(J809,$J$2:$J$1001,0)</f>
        <v>187</v>
      </c>
    </row>
    <row r="810" spans="1:12" x14ac:dyDescent="0.3">
      <c r="A810" s="5" t="s">
        <v>8</v>
      </c>
      <c r="B810" s="5" t="s">
        <v>21</v>
      </c>
      <c r="C810" s="5" t="s">
        <v>23</v>
      </c>
      <c r="D810" s="5" t="s">
        <v>11</v>
      </c>
      <c r="E810" s="5" t="s">
        <v>12</v>
      </c>
      <c r="F810" s="5">
        <v>73</v>
      </c>
      <c r="G810" s="5">
        <v>86</v>
      </c>
      <c r="H810" s="6">
        <v>82</v>
      </c>
      <c r="I810" s="5">
        <f>SUM(F810:H810)</f>
        <v>241</v>
      </c>
      <c r="J810" s="7">
        <f>AVERAGE(F810:H810)</f>
        <v>80.333333333333329</v>
      </c>
      <c r="K810" s="8">
        <f>I810/300</f>
        <v>0.80333333333333334</v>
      </c>
      <c r="L810" s="5">
        <f>_xlfn.RANK.EQ(J810,$J$2:$J$1001,0)</f>
        <v>187</v>
      </c>
    </row>
    <row r="811" spans="1:12" x14ac:dyDescent="0.3">
      <c r="A811" s="5" t="s">
        <v>17</v>
      </c>
      <c r="B811" s="5" t="s">
        <v>13</v>
      </c>
      <c r="C811" s="5" t="s">
        <v>19</v>
      </c>
      <c r="D811" s="5" t="s">
        <v>20</v>
      </c>
      <c r="E811" s="5" t="s">
        <v>15</v>
      </c>
      <c r="F811" s="5">
        <v>78</v>
      </c>
      <c r="G811" s="5">
        <v>81</v>
      </c>
      <c r="H811" s="6">
        <v>82</v>
      </c>
      <c r="I811" s="5">
        <f>SUM(F811:H811)</f>
        <v>241</v>
      </c>
      <c r="J811" s="7">
        <f>AVERAGE(F811:H811)</f>
        <v>80.333333333333329</v>
      </c>
      <c r="K811" s="8">
        <f>I811/300</f>
        <v>0.80333333333333334</v>
      </c>
      <c r="L811" s="5">
        <f>_xlfn.RANK.EQ(J811,$J$2:$J$1001,0)</f>
        <v>187</v>
      </c>
    </row>
    <row r="812" spans="1:12" x14ac:dyDescent="0.3">
      <c r="A812" s="5" t="s">
        <v>17</v>
      </c>
      <c r="B812" s="5" t="s">
        <v>21</v>
      </c>
      <c r="C812" s="5" t="s">
        <v>23</v>
      </c>
      <c r="D812" s="5" t="s">
        <v>11</v>
      </c>
      <c r="E812" s="5" t="s">
        <v>12</v>
      </c>
      <c r="F812" s="5">
        <v>86</v>
      </c>
      <c r="G812" s="5">
        <v>80</v>
      </c>
      <c r="H812" s="6">
        <v>75</v>
      </c>
      <c r="I812" s="5">
        <f>SUM(F812:H812)</f>
        <v>241</v>
      </c>
      <c r="J812" s="7">
        <f>AVERAGE(F812:H812)</f>
        <v>80.333333333333329</v>
      </c>
      <c r="K812" s="8">
        <f>I812/300</f>
        <v>0.80333333333333334</v>
      </c>
      <c r="L812" s="5">
        <f>_xlfn.RANK.EQ(J812,$J$2:$J$1001,0)</f>
        <v>187</v>
      </c>
    </row>
    <row r="813" spans="1:12" x14ac:dyDescent="0.3">
      <c r="A813" s="5" t="s">
        <v>17</v>
      </c>
      <c r="B813" s="5" t="s">
        <v>13</v>
      </c>
      <c r="C813" s="5" t="s">
        <v>14</v>
      </c>
      <c r="D813" s="5" t="s">
        <v>11</v>
      </c>
      <c r="E813" s="5" t="s">
        <v>12</v>
      </c>
      <c r="F813" s="5">
        <v>91</v>
      </c>
      <c r="G813" s="5">
        <v>74</v>
      </c>
      <c r="H813" s="6">
        <v>76</v>
      </c>
      <c r="I813" s="5">
        <f>SUM(F813:H813)</f>
        <v>241</v>
      </c>
      <c r="J813" s="7">
        <f>AVERAGE(F813:H813)</f>
        <v>80.333333333333329</v>
      </c>
      <c r="K813" s="8">
        <f>I813/300</f>
        <v>0.80333333333333334</v>
      </c>
      <c r="L813" s="5">
        <f>_xlfn.RANK.EQ(J813,$J$2:$J$1001,0)</f>
        <v>187</v>
      </c>
    </row>
    <row r="814" spans="1:12" x14ac:dyDescent="0.3">
      <c r="A814" s="5" t="s">
        <v>17</v>
      </c>
      <c r="B814" s="5" t="s">
        <v>21</v>
      </c>
      <c r="C814" s="5" t="s">
        <v>19</v>
      </c>
      <c r="D814" s="5" t="s">
        <v>20</v>
      </c>
      <c r="E814" s="5" t="s">
        <v>15</v>
      </c>
      <c r="F814" s="5">
        <v>79</v>
      </c>
      <c r="G814" s="5">
        <v>82</v>
      </c>
      <c r="H814" s="6">
        <v>80</v>
      </c>
      <c r="I814" s="5">
        <f>SUM(F814:H814)</f>
        <v>241</v>
      </c>
      <c r="J814" s="7">
        <f>AVERAGE(F814:H814)</f>
        <v>80.333333333333329</v>
      </c>
      <c r="K814" s="8">
        <f>I814/300</f>
        <v>0.80333333333333334</v>
      </c>
      <c r="L814" s="5">
        <f>_xlfn.RANK.EQ(J814,$J$2:$J$1001,0)</f>
        <v>187</v>
      </c>
    </row>
    <row r="815" spans="1:12" x14ac:dyDescent="0.3">
      <c r="A815" s="5" t="s">
        <v>17</v>
      </c>
      <c r="B815" s="5" t="s">
        <v>24</v>
      </c>
      <c r="C815" s="5" t="s">
        <v>23</v>
      </c>
      <c r="D815" s="5" t="s">
        <v>20</v>
      </c>
      <c r="E815" s="5" t="s">
        <v>15</v>
      </c>
      <c r="F815" s="5">
        <v>78</v>
      </c>
      <c r="G815" s="5">
        <v>83</v>
      </c>
      <c r="H815" s="6">
        <v>80</v>
      </c>
      <c r="I815" s="5">
        <f>SUM(F815:H815)</f>
        <v>241</v>
      </c>
      <c r="J815" s="7">
        <f>AVERAGE(F815:H815)</f>
        <v>80.333333333333329</v>
      </c>
      <c r="K815" s="8">
        <f>I815/300</f>
        <v>0.80333333333333334</v>
      </c>
      <c r="L815" s="5">
        <f>_xlfn.RANK.EQ(J815,$J$2:$J$1001,0)</f>
        <v>187</v>
      </c>
    </row>
    <row r="816" spans="1:12" x14ac:dyDescent="0.3">
      <c r="A816" s="5" t="s">
        <v>8</v>
      </c>
      <c r="B816" s="5" t="s">
        <v>13</v>
      </c>
      <c r="C816" s="5" t="s">
        <v>23</v>
      </c>
      <c r="D816" s="5" t="s">
        <v>20</v>
      </c>
      <c r="E816" s="5" t="s">
        <v>15</v>
      </c>
      <c r="F816" s="5">
        <v>71</v>
      </c>
      <c r="G816" s="5">
        <v>84</v>
      </c>
      <c r="H816" s="6">
        <v>87</v>
      </c>
      <c r="I816" s="5">
        <f>SUM(F816:H816)</f>
        <v>242</v>
      </c>
      <c r="J816" s="7">
        <f>AVERAGE(F816:H816)</f>
        <v>80.666666666666671</v>
      </c>
      <c r="K816" s="8">
        <f>I816/300</f>
        <v>0.80666666666666664</v>
      </c>
      <c r="L816" s="5">
        <f>_xlfn.RANK.EQ(J816,$J$2:$J$1001,0)</f>
        <v>180</v>
      </c>
    </row>
    <row r="817" spans="1:12" x14ac:dyDescent="0.3">
      <c r="A817" s="5" t="s">
        <v>8</v>
      </c>
      <c r="B817" s="5" t="s">
        <v>9</v>
      </c>
      <c r="C817" s="5" t="s">
        <v>10</v>
      </c>
      <c r="D817" s="5" t="s">
        <v>20</v>
      </c>
      <c r="E817" s="5" t="s">
        <v>12</v>
      </c>
      <c r="F817" s="5">
        <v>75</v>
      </c>
      <c r="G817" s="5">
        <v>85</v>
      </c>
      <c r="H817" s="6">
        <v>82</v>
      </c>
      <c r="I817" s="5">
        <f>SUM(F817:H817)</f>
        <v>242</v>
      </c>
      <c r="J817" s="7">
        <f>AVERAGE(F817:H817)</f>
        <v>80.666666666666671</v>
      </c>
      <c r="K817" s="8">
        <f>I817/300</f>
        <v>0.80666666666666664</v>
      </c>
      <c r="L817" s="5">
        <f>_xlfn.RANK.EQ(J817,$J$2:$J$1001,0)</f>
        <v>180</v>
      </c>
    </row>
    <row r="818" spans="1:12" x14ac:dyDescent="0.3">
      <c r="A818" s="5" t="s">
        <v>17</v>
      </c>
      <c r="B818" s="5" t="s">
        <v>9</v>
      </c>
      <c r="C818" s="5" t="s">
        <v>23</v>
      </c>
      <c r="D818" s="5" t="s">
        <v>11</v>
      </c>
      <c r="E818" s="5" t="s">
        <v>15</v>
      </c>
      <c r="F818" s="5">
        <v>84</v>
      </c>
      <c r="G818" s="5">
        <v>83</v>
      </c>
      <c r="H818" s="6">
        <v>75</v>
      </c>
      <c r="I818" s="5">
        <f>SUM(F818:H818)</f>
        <v>242</v>
      </c>
      <c r="J818" s="7">
        <f>AVERAGE(F818:H818)</f>
        <v>80.666666666666671</v>
      </c>
      <c r="K818" s="8">
        <f>I818/300</f>
        <v>0.80666666666666664</v>
      </c>
      <c r="L818" s="5">
        <f>_xlfn.RANK.EQ(J818,$J$2:$J$1001,0)</f>
        <v>180</v>
      </c>
    </row>
    <row r="819" spans="1:12" x14ac:dyDescent="0.3">
      <c r="A819" s="5" t="s">
        <v>8</v>
      </c>
      <c r="B819" s="5" t="s">
        <v>21</v>
      </c>
      <c r="C819" s="5" t="s">
        <v>23</v>
      </c>
      <c r="D819" s="5" t="s">
        <v>11</v>
      </c>
      <c r="E819" s="5" t="s">
        <v>12</v>
      </c>
      <c r="F819" s="5">
        <v>73</v>
      </c>
      <c r="G819" s="5">
        <v>84</v>
      </c>
      <c r="H819" s="6">
        <v>85</v>
      </c>
      <c r="I819" s="5">
        <f>SUM(F819:H819)</f>
        <v>242</v>
      </c>
      <c r="J819" s="7">
        <f>AVERAGE(F819:H819)</f>
        <v>80.666666666666671</v>
      </c>
      <c r="K819" s="8">
        <f>I819/300</f>
        <v>0.80666666666666664</v>
      </c>
      <c r="L819" s="5">
        <f>_xlfn.RANK.EQ(J819,$J$2:$J$1001,0)</f>
        <v>180</v>
      </c>
    </row>
    <row r="820" spans="1:12" x14ac:dyDescent="0.3">
      <c r="A820" s="5" t="s">
        <v>8</v>
      </c>
      <c r="B820" s="5" t="s">
        <v>24</v>
      </c>
      <c r="C820" s="5" t="s">
        <v>10</v>
      </c>
      <c r="D820" s="5" t="s">
        <v>11</v>
      </c>
      <c r="E820" s="5" t="s">
        <v>15</v>
      </c>
      <c r="F820" s="5">
        <v>79</v>
      </c>
      <c r="G820" s="5">
        <v>81</v>
      </c>
      <c r="H820" s="6">
        <v>82</v>
      </c>
      <c r="I820" s="5">
        <f>SUM(F820:H820)</f>
        <v>242</v>
      </c>
      <c r="J820" s="7">
        <f>AVERAGE(F820:H820)</f>
        <v>80.666666666666671</v>
      </c>
      <c r="K820" s="8">
        <f>I820/300</f>
        <v>0.80666666666666664</v>
      </c>
      <c r="L820" s="5">
        <f>_xlfn.RANK.EQ(J820,$J$2:$J$1001,0)</f>
        <v>180</v>
      </c>
    </row>
    <row r="821" spans="1:12" x14ac:dyDescent="0.3">
      <c r="A821" s="5" t="s">
        <v>17</v>
      </c>
      <c r="B821" s="5" t="s">
        <v>21</v>
      </c>
      <c r="C821" s="5" t="s">
        <v>14</v>
      </c>
      <c r="D821" s="5" t="s">
        <v>11</v>
      </c>
      <c r="E821" s="5" t="s">
        <v>12</v>
      </c>
      <c r="F821" s="5">
        <v>88</v>
      </c>
      <c r="G821" s="5">
        <v>77</v>
      </c>
      <c r="H821" s="6">
        <v>77</v>
      </c>
      <c r="I821" s="5">
        <f>SUM(F821:H821)</f>
        <v>242</v>
      </c>
      <c r="J821" s="7">
        <f>AVERAGE(F821:H821)</f>
        <v>80.666666666666671</v>
      </c>
      <c r="K821" s="8">
        <f>I821/300</f>
        <v>0.80666666666666664</v>
      </c>
      <c r="L821" s="5">
        <f>_xlfn.RANK.EQ(J821,$J$2:$J$1001,0)</f>
        <v>180</v>
      </c>
    </row>
    <row r="822" spans="1:12" x14ac:dyDescent="0.3">
      <c r="A822" s="5" t="s">
        <v>17</v>
      </c>
      <c r="B822" s="5" t="s">
        <v>24</v>
      </c>
      <c r="C822" s="5" t="s">
        <v>22</v>
      </c>
      <c r="D822" s="5" t="s">
        <v>20</v>
      </c>
      <c r="E822" s="5" t="s">
        <v>15</v>
      </c>
      <c r="F822" s="5">
        <v>86</v>
      </c>
      <c r="G822" s="5">
        <v>81</v>
      </c>
      <c r="H822" s="6">
        <v>75</v>
      </c>
      <c r="I822" s="5">
        <f>SUM(F822:H822)</f>
        <v>242</v>
      </c>
      <c r="J822" s="7">
        <f>AVERAGE(F822:H822)</f>
        <v>80.666666666666671</v>
      </c>
      <c r="K822" s="8">
        <f>I822/300</f>
        <v>0.80666666666666664</v>
      </c>
      <c r="L822" s="5">
        <f>_xlfn.RANK.EQ(J822,$J$2:$J$1001,0)</f>
        <v>180</v>
      </c>
    </row>
    <row r="823" spans="1:12" x14ac:dyDescent="0.3">
      <c r="A823" s="5" t="s">
        <v>17</v>
      </c>
      <c r="B823" s="5" t="s">
        <v>18</v>
      </c>
      <c r="C823" s="5" t="s">
        <v>19</v>
      </c>
      <c r="D823" s="5" t="s">
        <v>20</v>
      </c>
      <c r="E823" s="5" t="s">
        <v>15</v>
      </c>
      <c r="F823" s="5">
        <v>79</v>
      </c>
      <c r="G823" s="5">
        <v>82</v>
      </c>
      <c r="H823" s="6">
        <v>82</v>
      </c>
      <c r="I823" s="5">
        <f>SUM(F823:H823)</f>
        <v>243</v>
      </c>
      <c r="J823" s="7">
        <f>AVERAGE(F823:H823)</f>
        <v>81</v>
      </c>
      <c r="K823" s="8">
        <f>I823/300</f>
        <v>0.81</v>
      </c>
      <c r="L823" s="5">
        <f>_xlfn.RANK.EQ(J823,$J$2:$J$1001,0)</f>
        <v>178</v>
      </c>
    </row>
    <row r="824" spans="1:12" x14ac:dyDescent="0.3">
      <c r="A824" s="5" t="s">
        <v>8</v>
      </c>
      <c r="B824" s="5" t="s">
        <v>9</v>
      </c>
      <c r="C824" s="5" t="s">
        <v>22</v>
      </c>
      <c r="D824" s="5" t="s">
        <v>20</v>
      </c>
      <c r="E824" s="5" t="s">
        <v>15</v>
      </c>
      <c r="F824" s="5">
        <v>76</v>
      </c>
      <c r="G824" s="5">
        <v>85</v>
      </c>
      <c r="H824" s="6">
        <v>82</v>
      </c>
      <c r="I824" s="5">
        <f>SUM(F824:H824)</f>
        <v>243</v>
      </c>
      <c r="J824" s="7">
        <f>AVERAGE(F824:H824)</f>
        <v>81</v>
      </c>
      <c r="K824" s="8">
        <f>I824/300</f>
        <v>0.81</v>
      </c>
      <c r="L824" s="5">
        <f>_xlfn.RANK.EQ(J824,$J$2:$J$1001,0)</f>
        <v>178</v>
      </c>
    </row>
    <row r="825" spans="1:12" x14ac:dyDescent="0.3">
      <c r="A825" s="5" t="s">
        <v>17</v>
      </c>
      <c r="B825" s="5" t="s">
        <v>13</v>
      </c>
      <c r="C825" s="5" t="s">
        <v>19</v>
      </c>
      <c r="D825" s="5" t="s">
        <v>11</v>
      </c>
      <c r="E825" s="5" t="s">
        <v>12</v>
      </c>
      <c r="F825" s="5">
        <v>84</v>
      </c>
      <c r="G825" s="5">
        <v>80</v>
      </c>
      <c r="H825" s="6">
        <v>80</v>
      </c>
      <c r="I825" s="5">
        <f>SUM(F825:H825)</f>
        <v>244</v>
      </c>
      <c r="J825" s="7">
        <f>AVERAGE(F825:H825)</f>
        <v>81.333333333333329</v>
      </c>
      <c r="K825" s="8">
        <f>I825/300</f>
        <v>0.81333333333333335</v>
      </c>
      <c r="L825" s="5">
        <f>_xlfn.RANK.EQ(J825,$J$2:$J$1001,0)</f>
        <v>173</v>
      </c>
    </row>
    <row r="826" spans="1:12" x14ac:dyDescent="0.3">
      <c r="A826" s="5" t="s">
        <v>8</v>
      </c>
      <c r="B826" s="5" t="s">
        <v>9</v>
      </c>
      <c r="C826" s="5" t="s">
        <v>23</v>
      </c>
      <c r="D826" s="5" t="s">
        <v>11</v>
      </c>
      <c r="E826" s="5" t="s">
        <v>12</v>
      </c>
      <c r="F826" s="5">
        <v>82</v>
      </c>
      <c r="G826" s="5">
        <v>82</v>
      </c>
      <c r="H826" s="6">
        <v>80</v>
      </c>
      <c r="I826" s="5">
        <f>SUM(F826:H826)</f>
        <v>244</v>
      </c>
      <c r="J826" s="7">
        <f>AVERAGE(F826:H826)</f>
        <v>81.333333333333329</v>
      </c>
      <c r="K826" s="8">
        <f>I826/300</f>
        <v>0.81333333333333335</v>
      </c>
      <c r="L826" s="5">
        <f>_xlfn.RANK.EQ(J826,$J$2:$J$1001,0)</f>
        <v>173</v>
      </c>
    </row>
    <row r="827" spans="1:12" x14ac:dyDescent="0.3">
      <c r="A827" s="5" t="s">
        <v>17</v>
      </c>
      <c r="B827" s="5" t="s">
        <v>24</v>
      </c>
      <c r="C827" s="5" t="s">
        <v>19</v>
      </c>
      <c r="D827" s="5" t="s">
        <v>20</v>
      </c>
      <c r="E827" s="5" t="s">
        <v>15</v>
      </c>
      <c r="F827" s="5">
        <v>91</v>
      </c>
      <c r="G827" s="5">
        <v>73</v>
      </c>
      <c r="H827" s="6">
        <v>80</v>
      </c>
      <c r="I827" s="5">
        <f>SUM(F827:H827)</f>
        <v>244</v>
      </c>
      <c r="J827" s="7">
        <f>AVERAGE(F827:H827)</f>
        <v>81.333333333333329</v>
      </c>
      <c r="K827" s="8">
        <f>I827/300</f>
        <v>0.81333333333333335</v>
      </c>
      <c r="L827" s="5">
        <f>_xlfn.RANK.EQ(J827,$J$2:$J$1001,0)</f>
        <v>173</v>
      </c>
    </row>
    <row r="828" spans="1:12" x14ac:dyDescent="0.3">
      <c r="A828" s="5" t="s">
        <v>17</v>
      </c>
      <c r="B828" s="5" t="s">
        <v>9</v>
      </c>
      <c r="C828" s="5" t="s">
        <v>19</v>
      </c>
      <c r="D828" s="5" t="s">
        <v>11</v>
      </c>
      <c r="E828" s="5" t="s">
        <v>15</v>
      </c>
      <c r="F828" s="5">
        <v>82</v>
      </c>
      <c r="G828" s="5">
        <v>84</v>
      </c>
      <c r="H828" s="6">
        <v>78</v>
      </c>
      <c r="I828" s="5">
        <f>SUM(F828:H828)</f>
        <v>244</v>
      </c>
      <c r="J828" s="7">
        <f>AVERAGE(F828:H828)</f>
        <v>81.333333333333329</v>
      </c>
      <c r="K828" s="8">
        <f>I828/300</f>
        <v>0.81333333333333335</v>
      </c>
      <c r="L828" s="5">
        <f>_xlfn.RANK.EQ(J828,$J$2:$J$1001,0)</f>
        <v>173</v>
      </c>
    </row>
    <row r="829" spans="1:12" x14ac:dyDescent="0.3">
      <c r="A829" s="5" t="s">
        <v>17</v>
      </c>
      <c r="B829" s="5" t="s">
        <v>9</v>
      </c>
      <c r="C829" s="5" t="s">
        <v>22</v>
      </c>
      <c r="D829" s="5" t="s">
        <v>11</v>
      </c>
      <c r="E829" s="5" t="s">
        <v>12</v>
      </c>
      <c r="F829" s="5">
        <v>82</v>
      </c>
      <c r="G829" s="5">
        <v>82</v>
      </c>
      <c r="H829" s="6">
        <v>80</v>
      </c>
      <c r="I829" s="5">
        <f>SUM(F829:H829)</f>
        <v>244</v>
      </c>
      <c r="J829" s="7">
        <f>AVERAGE(F829:H829)</f>
        <v>81.333333333333329</v>
      </c>
      <c r="K829" s="8">
        <f>I829/300</f>
        <v>0.81333333333333335</v>
      </c>
      <c r="L829" s="5">
        <f>_xlfn.RANK.EQ(J829,$J$2:$J$1001,0)</f>
        <v>173</v>
      </c>
    </row>
    <row r="830" spans="1:12" x14ac:dyDescent="0.3">
      <c r="A830" s="5" t="s">
        <v>17</v>
      </c>
      <c r="B830" s="5" t="s">
        <v>9</v>
      </c>
      <c r="C830" s="5" t="s">
        <v>19</v>
      </c>
      <c r="D830" s="5" t="s">
        <v>11</v>
      </c>
      <c r="E830" s="5" t="s">
        <v>12</v>
      </c>
      <c r="F830" s="5">
        <v>87</v>
      </c>
      <c r="G830" s="5">
        <v>85</v>
      </c>
      <c r="H830" s="6">
        <v>73</v>
      </c>
      <c r="I830" s="5">
        <f>SUM(F830:H830)</f>
        <v>245</v>
      </c>
      <c r="J830" s="7">
        <f>AVERAGE(F830:H830)</f>
        <v>81.666666666666671</v>
      </c>
      <c r="K830" s="8">
        <f>I830/300</f>
        <v>0.81666666666666665</v>
      </c>
      <c r="L830" s="5">
        <f>_xlfn.RANK.EQ(J830,$J$2:$J$1001,0)</f>
        <v>169</v>
      </c>
    </row>
    <row r="831" spans="1:12" x14ac:dyDescent="0.3">
      <c r="A831" s="5" t="s">
        <v>17</v>
      </c>
      <c r="B831" s="5" t="s">
        <v>9</v>
      </c>
      <c r="C831" s="5" t="s">
        <v>19</v>
      </c>
      <c r="D831" s="5" t="s">
        <v>11</v>
      </c>
      <c r="E831" s="5" t="s">
        <v>15</v>
      </c>
      <c r="F831" s="5">
        <v>81</v>
      </c>
      <c r="G831" s="5">
        <v>82</v>
      </c>
      <c r="H831" s="6">
        <v>82</v>
      </c>
      <c r="I831" s="5">
        <f>SUM(F831:H831)</f>
        <v>245</v>
      </c>
      <c r="J831" s="7">
        <f>AVERAGE(F831:H831)</f>
        <v>81.666666666666671</v>
      </c>
      <c r="K831" s="8">
        <f>I831/300</f>
        <v>0.81666666666666665</v>
      </c>
      <c r="L831" s="5">
        <f>_xlfn.RANK.EQ(J831,$J$2:$J$1001,0)</f>
        <v>169</v>
      </c>
    </row>
    <row r="832" spans="1:12" x14ac:dyDescent="0.3">
      <c r="A832" s="5" t="s">
        <v>17</v>
      </c>
      <c r="B832" s="5" t="s">
        <v>24</v>
      </c>
      <c r="C832" s="5" t="s">
        <v>14</v>
      </c>
      <c r="D832" s="5" t="s">
        <v>11</v>
      </c>
      <c r="E832" s="5" t="s">
        <v>15</v>
      </c>
      <c r="F832" s="5">
        <v>84</v>
      </c>
      <c r="G832" s="5">
        <v>83</v>
      </c>
      <c r="H832" s="6">
        <v>78</v>
      </c>
      <c r="I832" s="5">
        <f>SUM(F832:H832)</f>
        <v>245</v>
      </c>
      <c r="J832" s="7">
        <f>AVERAGE(F832:H832)</f>
        <v>81.666666666666671</v>
      </c>
      <c r="K832" s="8">
        <f>I832/300</f>
        <v>0.81666666666666665</v>
      </c>
      <c r="L832" s="5">
        <f>_xlfn.RANK.EQ(J832,$J$2:$J$1001,0)</f>
        <v>169</v>
      </c>
    </row>
    <row r="833" spans="1:12" x14ac:dyDescent="0.3">
      <c r="A833" s="5" t="s">
        <v>17</v>
      </c>
      <c r="B833" s="5" t="s">
        <v>21</v>
      </c>
      <c r="C833" s="5" t="s">
        <v>23</v>
      </c>
      <c r="D833" s="5" t="s">
        <v>11</v>
      </c>
      <c r="E833" s="5" t="s">
        <v>15</v>
      </c>
      <c r="F833" s="5">
        <v>78</v>
      </c>
      <c r="G833" s="5">
        <v>81</v>
      </c>
      <c r="H833" s="6">
        <v>86</v>
      </c>
      <c r="I833" s="5">
        <f>SUM(F833:H833)</f>
        <v>245</v>
      </c>
      <c r="J833" s="7">
        <f>AVERAGE(F833:H833)</f>
        <v>81.666666666666671</v>
      </c>
      <c r="K833" s="8">
        <f>I833/300</f>
        <v>0.81666666666666665</v>
      </c>
      <c r="L833" s="5">
        <f>_xlfn.RANK.EQ(J833,$J$2:$J$1001,0)</f>
        <v>169</v>
      </c>
    </row>
    <row r="834" spans="1:12" x14ac:dyDescent="0.3">
      <c r="A834" s="5" t="s">
        <v>8</v>
      </c>
      <c r="B834" s="5" t="s">
        <v>21</v>
      </c>
      <c r="C834" s="5" t="s">
        <v>14</v>
      </c>
      <c r="D834" s="5" t="s">
        <v>11</v>
      </c>
      <c r="E834" s="5" t="s">
        <v>12</v>
      </c>
      <c r="F834" s="5">
        <v>79</v>
      </c>
      <c r="G834" s="5">
        <v>86</v>
      </c>
      <c r="H834" s="6">
        <v>81</v>
      </c>
      <c r="I834" s="5">
        <f>SUM(F834:H834)</f>
        <v>246</v>
      </c>
      <c r="J834" s="7">
        <f>AVERAGE(F834:H834)</f>
        <v>82</v>
      </c>
      <c r="K834" s="8">
        <f>I834/300</f>
        <v>0.82</v>
      </c>
      <c r="L834" s="5">
        <f>_xlfn.RANK.EQ(J834,$J$2:$J$1001,0)</f>
        <v>166</v>
      </c>
    </row>
    <row r="835" spans="1:12" x14ac:dyDescent="0.3">
      <c r="A835" s="5" t="s">
        <v>8</v>
      </c>
      <c r="B835" s="5" t="s">
        <v>24</v>
      </c>
      <c r="C835" s="5" t="s">
        <v>10</v>
      </c>
      <c r="D835" s="5" t="s">
        <v>11</v>
      </c>
      <c r="E835" s="5" t="s">
        <v>12</v>
      </c>
      <c r="F835" s="5">
        <v>80</v>
      </c>
      <c r="G835" s="5">
        <v>83</v>
      </c>
      <c r="H835" s="6">
        <v>83</v>
      </c>
      <c r="I835" s="5">
        <f>SUM(F835:H835)</f>
        <v>246</v>
      </c>
      <c r="J835" s="7">
        <f>AVERAGE(F835:H835)</f>
        <v>82</v>
      </c>
      <c r="K835" s="8">
        <f>I835/300</f>
        <v>0.82</v>
      </c>
      <c r="L835" s="5">
        <f>_xlfn.RANK.EQ(J835,$J$2:$J$1001,0)</f>
        <v>166</v>
      </c>
    </row>
    <row r="836" spans="1:12" x14ac:dyDescent="0.3">
      <c r="A836" s="5" t="s">
        <v>17</v>
      </c>
      <c r="B836" s="5" t="s">
        <v>21</v>
      </c>
      <c r="C836" s="5" t="s">
        <v>16</v>
      </c>
      <c r="D836" s="5" t="s">
        <v>11</v>
      </c>
      <c r="E836" s="5" t="s">
        <v>12</v>
      </c>
      <c r="F836" s="5">
        <v>81</v>
      </c>
      <c r="G836" s="5">
        <v>81</v>
      </c>
      <c r="H836" s="6">
        <v>84</v>
      </c>
      <c r="I836" s="5">
        <f>SUM(F836:H836)</f>
        <v>246</v>
      </c>
      <c r="J836" s="7">
        <f>AVERAGE(F836:H836)</f>
        <v>82</v>
      </c>
      <c r="K836" s="8">
        <f>I836/300</f>
        <v>0.82</v>
      </c>
      <c r="L836" s="5">
        <f>_xlfn.RANK.EQ(J836,$J$2:$J$1001,0)</f>
        <v>166</v>
      </c>
    </row>
    <row r="837" spans="1:12" x14ac:dyDescent="0.3">
      <c r="A837" s="5" t="s">
        <v>8</v>
      </c>
      <c r="B837" s="5" t="s">
        <v>13</v>
      </c>
      <c r="C837" s="5" t="s">
        <v>14</v>
      </c>
      <c r="D837" s="5" t="s">
        <v>11</v>
      </c>
      <c r="E837" s="5" t="s">
        <v>15</v>
      </c>
      <c r="F837" s="5">
        <v>69</v>
      </c>
      <c r="G837" s="5">
        <v>90</v>
      </c>
      <c r="H837" s="6">
        <v>88</v>
      </c>
      <c r="I837" s="5">
        <f>SUM(F837:H837)</f>
        <v>247</v>
      </c>
      <c r="J837" s="7">
        <f>AVERAGE(F837:H837)</f>
        <v>82.333333333333329</v>
      </c>
      <c r="K837" s="8">
        <f>I837/300</f>
        <v>0.82333333333333336</v>
      </c>
      <c r="L837" s="5">
        <f>_xlfn.RANK.EQ(J837,$J$2:$J$1001,0)</f>
        <v>155</v>
      </c>
    </row>
    <row r="838" spans="1:12" x14ac:dyDescent="0.3">
      <c r="A838" s="5" t="s">
        <v>8</v>
      </c>
      <c r="B838" s="5" t="s">
        <v>13</v>
      </c>
      <c r="C838" s="5" t="s">
        <v>14</v>
      </c>
      <c r="D838" s="5" t="s">
        <v>20</v>
      </c>
      <c r="E838" s="5" t="s">
        <v>12</v>
      </c>
      <c r="F838" s="5">
        <v>76</v>
      </c>
      <c r="G838" s="5">
        <v>83</v>
      </c>
      <c r="H838" s="6">
        <v>88</v>
      </c>
      <c r="I838" s="5">
        <f>SUM(F838:H838)</f>
        <v>247</v>
      </c>
      <c r="J838" s="7">
        <f>AVERAGE(F838:H838)</f>
        <v>82.333333333333329</v>
      </c>
      <c r="K838" s="8">
        <f>I838/300</f>
        <v>0.82333333333333336</v>
      </c>
      <c r="L838" s="5">
        <f>_xlfn.RANK.EQ(J838,$J$2:$J$1001,0)</f>
        <v>155</v>
      </c>
    </row>
    <row r="839" spans="1:12" x14ac:dyDescent="0.3">
      <c r="A839" s="5" t="s">
        <v>17</v>
      </c>
      <c r="B839" s="5" t="s">
        <v>9</v>
      </c>
      <c r="C839" s="5" t="s">
        <v>23</v>
      </c>
      <c r="D839" s="5" t="s">
        <v>11</v>
      </c>
      <c r="E839" s="5" t="s">
        <v>12</v>
      </c>
      <c r="F839" s="5">
        <v>88</v>
      </c>
      <c r="G839" s="5">
        <v>84</v>
      </c>
      <c r="H839" s="6">
        <v>75</v>
      </c>
      <c r="I839" s="5">
        <f>SUM(F839:H839)</f>
        <v>247</v>
      </c>
      <c r="J839" s="7">
        <f>AVERAGE(F839:H839)</f>
        <v>82.333333333333329</v>
      </c>
      <c r="K839" s="8">
        <f>I839/300</f>
        <v>0.82333333333333336</v>
      </c>
      <c r="L839" s="5">
        <f>_xlfn.RANK.EQ(J839,$J$2:$J$1001,0)</f>
        <v>155</v>
      </c>
    </row>
    <row r="840" spans="1:12" x14ac:dyDescent="0.3">
      <c r="A840" s="5" t="s">
        <v>8</v>
      </c>
      <c r="B840" s="5" t="s">
        <v>13</v>
      </c>
      <c r="C840" s="5" t="s">
        <v>14</v>
      </c>
      <c r="D840" s="5" t="s">
        <v>11</v>
      </c>
      <c r="E840" s="5" t="s">
        <v>15</v>
      </c>
      <c r="F840" s="5">
        <v>70</v>
      </c>
      <c r="G840" s="5">
        <v>89</v>
      </c>
      <c r="H840" s="6">
        <v>88</v>
      </c>
      <c r="I840" s="5">
        <f>SUM(F840:H840)</f>
        <v>247</v>
      </c>
      <c r="J840" s="7">
        <f>AVERAGE(F840:H840)</f>
        <v>82.333333333333329</v>
      </c>
      <c r="K840" s="8">
        <f>I840/300</f>
        <v>0.82333333333333336</v>
      </c>
      <c r="L840" s="5">
        <f>_xlfn.RANK.EQ(J840,$J$2:$J$1001,0)</f>
        <v>155</v>
      </c>
    </row>
    <row r="841" spans="1:12" x14ac:dyDescent="0.3">
      <c r="A841" s="5" t="s">
        <v>17</v>
      </c>
      <c r="B841" s="5" t="s">
        <v>9</v>
      </c>
      <c r="C841" s="5" t="s">
        <v>23</v>
      </c>
      <c r="D841" s="5" t="s">
        <v>11</v>
      </c>
      <c r="E841" s="5" t="s">
        <v>15</v>
      </c>
      <c r="F841" s="5">
        <v>85</v>
      </c>
      <c r="G841" s="5">
        <v>84</v>
      </c>
      <c r="H841" s="6">
        <v>78</v>
      </c>
      <c r="I841" s="5">
        <f>SUM(F841:H841)</f>
        <v>247</v>
      </c>
      <c r="J841" s="7">
        <f>AVERAGE(F841:H841)</f>
        <v>82.333333333333329</v>
      </c>
      <c r="K841" s="8">
        <f>I841/300</f>
        <v>0.82333333333333336</v>
      </c>
      <c r="L841" s="5">
        <f>_xlfn.RANK.EQ(J841,$J$2:$J$1001,0)</f>
        <v>155</v>
      </c>
    </row>
    <row r="842" spans="1:12" x14ac:dyDescent="0.3">
      <c r="A842" s="5" t="s">
        <v>17</v>
      </c>
      <c r="B842" s="5" t="s">
        <v>13</v>
      </c>
      <c r="C842" s="5" t="s">
        <v>22</v>
      </c>
      <c r="D842" s="5" t="s">
        <v>11</v>
      </c>
      <c r="E842" s="5" t="s">
        <v>15</v>
      </c>
      <c r="F842" s="5">
        <v>86</v>
      </c>
      <c r="G842" s="5">
        <v>81</v>
      </c>
      <c r="H842" s="6">
        <v>80</v>
      </c>
      <c r="I842" s="5">
        <f>SUM(F842:H842)</f>
        <v>247</v>
      </c>
      <c r="J842" s="7">
        <f>AVERAGE(F842:H842)</f>
        <v>82.333333333333329</v>
      </c>
      <c r="K842" s="8">
        <f>I842/300</f>
        <v>0.82333333333333336</v>
      </c>
      <c r="L842" s="5">
        <f>_xlfn.RANK.EQ(J842,$J$2:$J$1001,0)</f>
        <v>155</v>
      </c>
    </row>
    <row r="843" spans="1:12" x14ac:dyDescent="0.3">
      <c r="A843" s="5" t="s">
        <v>8</v>
      </c>
      <c r="B843" s="5" t="s">
        <v>21</v>
      </c>
      <c r="C843" s="5" t="s">
        <v>14</v>
      </c>
      <c r="D843" s="5" t="s">
        <v>11</v>
      </c>
      <c r="E843" s="5" t="s">
        <v>12</v>
      </c>
      <c r="F843" s="5">
        <v>74</v>
      </c>
      <c r="G843" s="5">
        <v>89</v>
      </c>
      <c r="H843" s="6">
        <v>84</v>
      </c>
      <c r="I843" s="5">
        <f>SUM(F843:H843)</f>
        <v>247</v>
      </c>
      <c r="J843" s="7">
        <f>AVERAGE(F843:H843)</f>
        <v>82.333333333333329</v>
      </c>
      <c r="K843" s="8">
        <f>I843/300</f>
        <v>0.82333333333333336</v>
      </c>
      <c r="L843" s="5">
        <f>_xlfn.RANK.EQ(J843,$J$2:$J$1001,0)</f>
        <v>155</v>
      </c>
    </row>
    <row r="844" spans="1:12" x14ac:dyDescent="0.3">
      <c r="A844" s="5" t="s">
        <v>8</v>
      </c>
      <c r="B844" s="5" t="s">
        <v>13</v>
      </c>
      <c r="C844" s="5" t="s">
        <v>19</v>
      </c>
      <c r="D844" s="5" t="s">
        <v>11</v>
      </c>
      <c r="E844" s="5" t="s">
        <v>15</v>
      </c>
      <c r="F844" s="5">
        <v>75</v>
      </c>
      <c r="G844" s="5">
        <v>82</v>
      </c>
      <c r="H844" s="6">
        <v>90</v>
      </c>
      <c r="I844" s="5">
        <f>SUM(F844:H844)</f>
        <v>247</v>
      </c>
      <c r="J844" s="7">
        <f>AVERAGE(F844:H844)</f>
        <v>82.333333333333329</v>
      </c>
      <c r="K844" s="8">
        <f>I844/300</f>
        <v>0.82333333333333336</v>
      </c>
      <c r="L844" s="5">
        <f>_xlfn.RANK.EQ(J844,$J$2:$J$1001,0)</f>
        <v>155</v>
      </c>
    </row>
    <row r="845" spans="1:12" x14ac:dyDescent="0.3">
      <c r="A845" s="5" t="s">
        <v>8</v>
      </c>
      <c r="B845" s="5" t="s">
        <v>13</v>
      </c>
      <c r="C845" s="5" t="s">
        <v>22</v>
      </c>
      <c r="D845" s="5" t="s">
        <v>11</v>
      </c>
      <c r="E845" s="5" t="s">
        <v>12</v>
      </c>
      <c r="F845" s="5">
        <v>81</v>
      </c>
      <c r="G845" s="5">
        <v>84</v>
      </c>
      <c r="H845" s="6">
        <v>82</v>
      </c>
      <c r="I845" s="5">
        <f>SUM(F845:H845)</f>
        <v>247</v>
      </c>
      <c r="J845" s="7">
        <f>AVERAGE(F845:H845)</f>
        <v>82.333333333333329</v>
      </c>
      <c r="K845" s="8">
        <f>I845/300</f>
        <v>0.82333333333333336</v>
      </c>
      <c r="L845" s="5">
        <f>_xlfn.RANK.EQ(J845,$J$2:$J$1001,0)</f>
        <v>155</v>
      </c>
    </row>
    <row r="846" spans="1:12" x14ac:dyDescent="0.3">
      <c r="A846" s="5" t="s">
        <v>17</v>
      </c>
      <c r="B846" s="5" t="s">
        <v>24</v>
      </c>
      <c r="C846" s="5" t="s">
        <v>23</v>
      </c>
      <c r="D846" s="5" t="s">
        <v>11</v>
      </c>
      <c r="E846" s="5" t="s">
        <v>15</v>
      </c>
      <c r="F846" s="5">
        <v>87</v>
      </c>
      <c r="G846" s="5">
        <v>84</v>
      </c>
      <c r="H846" s="6">
        <v>76</v>
      </c>
      <c r="I846" s="5">
        <f>SUM(F846:H846)</f>
        <v>247</v>
      </c>
      <c r="J846" s="7">
        <f>AVERAGE(F846:H846)</f>
        <v>82.333333333333329</v>
      </c>
      <c r="K846" s="8">
        <f>I846/300</f>
        <v>0.82333333333333336</v>
      </c>
      <c r="L846" s="5">
        <f>_xlfn.RANK.EQ(J846,$J$2:$J$1001,0)</f>
        <v>155</v>
      </c>
    </row>
    <row r="847" spans="1:12" x14ac:dyDescent="0.3">
      <c r="A847" s="5" t="s">
        <v>17</v>
      </c>
      <c r="B847" s="5" t="s">
        <v>21</v>
      </c>
      <c r="C847" s="5" t="s">
        <v>14</v>
      </c>
      <c r="D847" s="5" t="s">
        <v>11</v>
      </c>
      <c r="E847" s="5" t="s">
        <v>12</v>
      </c>
      <c r="F847" s="5">
        <v>81</v>
      </c>
      <c r="G847" s="5">
        <v>82</v>
      </c>
      <c r="H847" s="6">
        <v>84</v>
      </c>
      <c r="I847" s="5">
        <f>SUM(F847:H847)</f>
        <v>247</v>
      </c>
      <c r="J847" s="7">
        <f>AVERAGE(F847:H847)</f>
        <v>82.333333333333329</v>
      </c>
      <c r="K847" s="8">
        <f>I847/300</f>
        <v>0.82333333333333336</v>
      </c>
      <c r="L847" s="5">
        <f>_xlfn.RANK.EQ(J847,$J$2:$J$1001,0)</f>
        <v>155</v>
      </c>
    </row>
    <row r="848" spans="1:12" x14ac:dyDescent="0.3">
      <c r="A848" s="5" t="s">
        <v>17</v>
      </c>
      <c r="B848" s="5" t="s">
        <v>13</v>
      </c>
      <c r="C848" s="5" t="s">
        <v>22</v>
      </c>
      <c r="D848" s="5" t="s">
        <v>11</v>
      </c>
      <c r="E848" s="5" t="s">
        <v>15</v>
      </c>
      <c r="F848" s="5">
        <v>82</v>
      </c>
      <c r="G848" s="5">
        <v>84</v>
      </c>
      <c r="H848" s="6">
        <v>82</v>
      </c>
      <c r="I848" s="5">
        <f>SUM(F848:H848)</f>
        <v>248</v>
      </c>
      <c r="J848" s="7">
        <f>AVERAGE(F848:H848)</f>
        <v>82.666666666666671</v>
      </c>
      <c r="K848" s="8">
        <f>I848/300</f>
        <v>0.82666666666666666</v>
      </c>
      <c r="L848" s="5">
        <f>_xlfn.RANK.EQ(J848,$J$2:$J$1001,0)</f>
        <v>149</v>
      </c>
    </row>
    <row r="849" spans="1:12" x14ac:dyDescent="0.3">
      <c r="A849" s="5" t="s">
        <v>8</v>
      </c>
      <c r="B849" s="5" t="s">
        <v>24</v>
      </c>
      <c r="C849" s="5" t="s">
        <v>14</v>
      </c>
      <c r="D849" s="5" t="s">
        <v>20</v>
      </c>
      <c r="E849" s="5" t="s">
        <v>15</v>
      </c>
      <c r="F849" s="5">
        <v>75</v>
      </c>
      <c r="G849" s="5">
        <v>88</v>
      </c>
      <c r="H849" s="6">
        <v>85</v>
      </c>
      <c r="I849" s="5">
        <f>SUM(F849:H849)</f>
        <v>248</v>
      </c>
      <c r="J849" s="7">
        <f>AVERAGE(F849:H849)</f>
        <v>82.666666666666671</v>
      </c>
      <c r="K849" s="8">
        <f>I849/300</f>
        <v>0.82666666666666666</v>
      </c>
      <c r="L849" s="5">
        <f>_xlfn.RANK.EQ(J849,$J$2:$J$1001,0)</f>
        <v>149</v>
      </c>
    </row>
    <row r="850" spans="1:12" x14ac:dyDescent="0.3">
      <c r="A850" s="5" t="s">
        <v>8</v>
      </c>
      <c r="B850" s="5" t="s">
        <v>13</v>
      </c>
      <c r="C850" s="5" t="s">
        <v>23</v>
      </c>
      <c r="D850" s="5" t="s">
        <v>11</v>
      </c>
      <c r="E850" s="5" t="s">
        <v>15</v>
      </c>
      <c r="F850" s="5">
        <v>76</v>
      </c>
      <c r="G850" s="5">
        <v>87</v>
      </c>
      <c r="H850" s="6">
        <v>85</v>
      </c>
      <c r="I850" s="5">
        <f>SUM(F850:H850)</f>
        <v>248</v>
      </c>
      <c r="J850" s="7">
        <f>AVERAGE(F850:H850)</f>
        <v>82.666666666666671</v>
      </c>
      <c r="K850" s="8">
        <f>I850/300</f>
        <v>0.82666666666666666</v>
      </c>
      <c r="L850" s="5">
        <f>_xlfn.RANK.EQ(J850,$J$2:$J$1001,0)</f>
        <v>149</v>
      </c>
    </row>
    <row r="851" spans="1:12" x14ac:dyDescent="0.3">
      <c r="A851" s="5" t="s">
        <v>8</v>
      </c>
      <c r="B851" s="5" t="s">
        <v>13</v>
      </c>
      <c r="C851" s="5" t="s">
        <v>22</v>
      </c>
      <c r="D851" s="5" t="s">
        <v>11</v>
      </c>
      <c r="E851" s="5" t="s">
        <v>12</v>
      </c>
      <c r="F851" s="5">
        <v>75</v>
      </c>
      <c r="G851" s="5">
        <v>88</v>
      </c>
      <c r="H851" s="6">
        <v>85</v>
      </c>
      <c r="I851" s="5">
        <f>SUM(F851:H851)</f>
        <v>248</v>
      </c>
      <c r="J851" s="7">
        <f>AVERAGE(F851:H851)</f>
        <v>82.666666666666671</v>
      </c>
      <c r="K851" s="8">
        <f>I851/300</f>
        <v>0.82666666666666666</v>
      </c>
      <c r="L851" s="5">
        <f>_xlfn.RANK.EQ(J851,$J$2:$J$1001,0)</f>
        <v>149</v>
      </c>
    </row>
    <row r="852" spans="1:12" x14ac:dyDescent="0.3">
      <c r="A852" s="5" t="s">
        <v>17</v>
      </c>
      <c r="B852" s="5" t="s">
        <v>21</v>
      </c>
      <c r="C852" s="5" t="s">
        <v>23</v>
      </c>
      <c r="D852" s="5" t="s">
        <v>11</v>
      </c>
      <c r="E852" s="5" t="s">
        <v>12</v>
      </c>
      <c r="F852" s="5">
        <v>84</v>
      </c>
      <c r="G852" s="5">
        <v>84</v>
      </c>
      <c r="H852" s="6">
        <v>80</v>
      </c>
      <c r="I852" s="5">
        <f>SUM(F852:H852)</f>
        <v>248</v>
      </c>
      <c r="J852" s="7">
        <f>AVERAGE(F852:H852)</f>
        <v>82.666666666666671</v>
      </c>
      <c r="K852" s="8">
        <f>I852/300</f>
        <v>0.82666666666666666</v>
      </c>
      <c r="L852" s="5">
        <f>_xlfn.RANK.EQ(J852,$J$2:$J$1001,0)</f>
        <v>149</v>
      </c>
    </row>
    <row r="853" spans="1:12" x14ac:dyDescent="0.3">
      <c r="A853" s="5" t="s">
        <v>8</v>
      </c>
      <c r="B853" s="5" t="s">
        <v>9</v>
      </c>
      <c r="C853" s="5" t="s">
        <v>22</v>
      </c>
      <c r="D853" s="5" t="s">
        <v>11</v>
      </c>
      <c r="E853" s="5" t="s">
        <v>15</v>
      </c>
      <c r="F853" s="5">
        <v>77</v>
      </c>
      <c r="G853" s="5">
        <v>82</v>
      </c>
      <c r="H853" s="6">
        <v>89</v>
      </c>
      <c r="I853" s="5">
        <f>SUM(F853:H853)</f>
        <v>248</v>
      </c>
      <c r="J853" s="7">
        <f>AVERAGE(F853:H853)</f>
        <v>82.666666666666671</v>
      </c>
      <c r="K853" s="8">
        <f>I853/300</f>
        <v>0.82666666666666666</v>
      </c>
      <c r="L853" s="5">
        <f>_xlfn.RANK.EQ(J853,$J$2:$J$1001,0)</f>
        <v>149</v>
      </c>
    </row>
    <row r="854" spans="1:12" x14ac:dyDescent="0.3">
      <c r="A854" s="5" t="s">
        <v>17</v>
      </c>
      <c r="B854" s="5" t="s">
        <v>13</v>
      </c>
      <c r="C854" s="5" t="s">
        <v>10</v>
      </c>
      <c r="D854" s="5" t="s">
        <v>11</v>
      </c>
      <c r="E854" s="5" t="s">
        <v>15</v>
      </c>
      <c r="F854" s="5">
        <v>83</v>
      </c>
      <c r="G854" s="5">
        <v>82</v>
      </c>
      <c r="H854" s="6">
        <v>84</v>
      </c>
      <c r="I854" s="5">
        <f>SUM(F854:H854)</f>
        <v>249</v>
      </c>
      <c r="J854" s="7">
        <f>AVERAGE(F854:H854)</f>
        <v>83</v>
      </c>
      <c r="K854" s="8">
        <f>I854/300</f>
        <v>0.83</v>
      </c>
      <c r="L854" s="5">
        <f>_xlfn.RANK.EQ(J854,$J$2:$J$1001,0)</f>
        <v>140</v>
      </c>
    </row>
    <row r="855" spans="1:12" x14ac:dyDescent="0.3">
      <c r="A855" s="5" t="s">
        <v>17</v>
      </c>
      <c r="B855" s="5" t="s">
        <v>9</v>
      </c>
      <c r="C855" s="5" t="s">
        <v>14</v>
      </c>
      <c r="D855" s="5" t="s">
        <v>11</v>
      </c>
      <c r="E855" s="5" t="s">
        <v>15</v>
      </c>
      <c r="F855" s="5">
        <v>88</v>
      </c>
      <c r="G855" s="5">
        <v>85</v>
      </c>
      <c r="H855" s="6">
        <v>76</v>
      </c>
      <c r="I855" s="5">
        <f>SUM(F855:H855)</f>
        <v>249</v>
      </c>
      <c r="J855" s="7">
        <f>AVERAGE(F855:H855)</f>
        <v>83</v>
      </c>
      <c r="K855" s="8">
        <f>I855/300</f>
        <v>0.83</v>
      </c>
      <c r="L855" s="5">
        <f>_xlfn.RANK.EQ(J855,$J$2:$J$1001,0)</f>
        <v>140</v>
      </c>
    </row>
    <row r="856" spans="1:12" x14ac:dyDescent="0.3">
      <c r="A856" s="5" t="s">
        <v>17</v>
      </c>
      <c r="B856" s="5" t="s">
        <v>9</v>
      </c>
      <c r="C856" s="5" t="s">
        <v>19</v>
      </c>
      <c r="D856" s="5" t="s">
        <v>11</v>
      </c>
      <c r="E856" s="5" t="s">
        <v>12</v>
      </c>
      <c r="F856" s="5">
        <v>90</v>
      </c>
      <c r="G856" s="5">
        <v>78</v>
      </c>
      <c r="H856" s="6">
        <v>81</v>
      </c>
      <c r="I856" s="5">
        <f>SUM(F856:H856)</f>
        <v>249</v>
      </c>
      <c r="J856" s="7">
        <f>AVERAGE(F856:H856)</f>
        <v>83</v>
      </c>
      <c r="K856" s="8">
        <f>I856/300</f>
        <v>0.83</v>
      </c>
      <c r="L856" s="5">
        <f>_xlfn.RANK.EQ(J856,$J$2:$J$1001,0)</f>
        <v>140</v>
      </c>
    </row>
    <row r="857" spans="1:12" x14ac:dyDescent="0.3">
      <c r="A857" s="5" t="s">
        <v>8</v>
      </c>
      <c r="B857" s="5" t="s">
        <v>9</v>
      </c>
      <c r="C857" s="5" t="s">
        <v>19</v>
      </c>
      <c r="D857" s="5" t="s">
        <v>11</v>
      </c>
      <c r="E857" s="5" t="s">
        <v>12</v>
      </c>
      <c r="F857" s="5">
        <v>80</v>
      </c>
      <c r="G857" s="5">
        <v>86</v>
      </c>
      <c r="H857" s="6">
        <v>83</v>
      </c>
      <c r="I857" s="5">
        <f>SUM(F857:H857)</f>
        <v>249</v>
      </c>
      <c r="J857" s="7">
        <f>AVERAGE(F857:H857)</f>
        <v>83</v>
      </c>
      <c r="K857" s="8">
        <f>I857/300</f>
        <v>0.83</v>
      </c>
      <c r="L857" s="5">
        <f>_xlfn.RANK.EQ(J857,$J$2:$J$1001,0)</f>
        <v>140</v>
      </c>
    </row>
    <row r="858" spans="1:12" x14ac:dyDescent="0.3">
      <c r="A858" s="5" t="s">
        <v>17</v>
      </c>
      <c r="B858" s="5" t="s">
        <v>21</v>
      </c>
      <c r="C858" s="5" t="s">
        <v>10</v>
      </c>
      <c r="D858" s="5" t="s">
        <v>11</v>
      </c>
      <c r="E858" s="5" t="s">
        <v>12</v>
      </c>
      <c r="F858" s="5">
        <v>88</v>
      </c>
      <c r="G858" s="5">
        <v>78</v>
      </c>
      <c r="H858" s="6">
        <v>83</v>
      </c>
      <c r="I858" s="5">
        <f>SUM(F858:H858)</f>
        <v>249</v>
      </c>
      <c r="J858" s="7">
        <f>AVERAGE(F858:H858)</f>
        <v>83</v>
      </c>
      <c r="K858" s="8">
        <f>I858/300</f>
        <v>0.83</v>
      </c>
      <c r="L858" s="5">
        <f>_xlfn.RANK.EQ(J858,$J$2:$J$1001,0)</f>
        <v>140</v>
      </c>
    </row>
    <row r="859" spans="1:12" x14ac:dyDescent="0.3">
      <c r="A859" s="5" t="s">
        <v>8</v>
      </c>
      <c r="B859" s="5" t="s">
        <v>9</v>
      </c>
      <c r="C859" s="5" t="s">
        <v>10</v>
      </c>
      <c r="D859" s="5" t="s">
        <v>20</v>
      </c>
      <c r="E859" s="5" t="s">
        <v>12</v>
      </c>
      <c r="F859" s="5">
        <v>77</v>
      </c>
      <c r="G859" s="5">
        <v>85</v>
      </c>
      <c r="H859" s="6">
        <v>87</v>
      </c>
      <c r="I859" s="5">
        <f>SUM(F859:H859)</f>
        <v>249</v>
      </c>
      <c r="J859" s="7">
        <f>AVERAGE(F859:H859)</f>
        <v>83</v>
      </c>
      <c r="K859" s="8">
        <f>I859/300</f>
        <v>0.83</v>
      </c>
      <c r="L859" s="5">
        <f>_xlfn.RANK.EQ(J859,$J$2:$J$1001,0)</f>
        <v>140</v>
      </c>
    </row>
    <row r="860" spans="1:12" x14ac:dyDescent="0.3">
      <c r="A860" s="5" t="s">
        <v>8</v>
      </c>
      <c r="B860" s="5" t="s">
        <v>21</v>
      </c>
      <c r="C860" s="5" t="s">
        <v>22</v>
      </c>
      <c r="D860" s="5" t="s">
        <v>20</v>
      </c>
      <c r="E860" s="5" t="s">
        <v>12</v>
      </c>
      <c r="F860" s="5">
        <v>73</v>
      </c>
      <c r="G860" s="5">
        <v>92</v>
      </c>
      <c r="H860" s="6">
        <v>84</v>
      </c>
      <c r="I860" s="5">
        <f>SUM(F860:H860)</f>
        <v>249</v>
      </c>
      <c r="J860" s="7">
        <f>AVERAGE(F860:H860)</f>
        <v>83</v>
      </c>
      <c r="K860" s="8">
        <f>I860/300</f>
        <v>0.83</v>
      </c>
      <c r="L860" s="5">
        <f>_xlfn.RANK.EQ(J860,$J$2:$J$1001,0)</f>
        <v>140</v>
      </c>
    </row>
    <row r="861" spans="1:12" x14ac:dyDescent="0.3">
      <c r="A861" s="5" t="s">
        <v>8</v>
      </c>
      <c r="B861" s="5" t="s">
        <v>13</v>
      </c>
      <c r="C861" s="5" t="s">
        <v>10</v>
      </c>
      <c r="D861" s="5" t="s">
        <v>20</v>
      </c>
      <c r="E861" s="5" t="s">
        <v>15</v>
      </c>
      <c r="F861" s="5">
        <v>74</v>
      </c>
      <c r="G861" s="5">
        <v>86</v>
      </c>
      <c r="H861" s="6">
        <v>89</v>
      </c>
      <c r="I861" s="5">
        <f>SUM(F861:H861)</f>
        <v>249</v>
      </c>
      <c r="J861" s="7">
        <f>AVERAGE(F861:H861)</f>
        <v>83</v>
      </c>
      <c r="K861" s="8">
        <f>I861/300</f>
        <v>0.83</v>
      </c>
      <c r="L861" s="5">
        <f>_xlfn.RANK.EQ(J861,$J$2:$J$1001,0)</f>
        <v>140</v>
      </c>
    </row>
    <row r="862" spans="1:12" x14ac:dyDescent="0.3">
      <c r="A862" s="5" t="s">
        <v>8</v>
      </c>
      <c r="B862" s="5" t="s">
        <v>21</v>
      </c>
      <c r="C862" s="5" t="s">
        <v>14</v>
      </c>
      <c r="D862" s="5" t="s">
        <v>20</v>
      </c>
      <c r="E862" s="5" t="s">
        <v>12</v>
      </c>
      <c r="F862" s="5">
        <v>77</v>
      </c>
      <c r="G862" s="5">
        <v>86</v>
      </c>
      <c r="H862" s="6">
        <v>86</v>
      </c>
      <c r="I862" s="5">
        <f>SUM(F862:H862)</f>
        <v>249</v>
      </c>
      <c r="J862" s="7">
        <f>AVERAGE(F862:H862)</f>
        <v>83</v>
      </c>
      <c r="K862" s="8">
        <f>I862/300</f>
        <v>0.83</v>
      </c>
      <c r="L862" s="5">
        <f>_xlfn.RANK.EQ(J862,$J$2:$J$1001,0)</f>
        <v>140</v>
      </c>
    </row>
    <row r="863" spans="1:12" x14ac:dyDescent="0.3">
      <c r="A863" s="5" t="s">
        <v>8</v>
      </c>
      <c r="B863" s="5" t="s">
        <v>21</v>
      </c>
      <c r="C863" s="5" t="s">
        <v>16</v>
      </c>
      <c r="D863" s="5" t="s">
        <v>11</v>
      </c>
      <c r="E863" s="5" t="s">
        <v>15</v>
      </c>
      <c r="F863" s="5">
        <v>77</v>
      </c>
      <c r="G863" s="5">
        <v>82</v>
      </c>
      <c r="H863" s="6">
        <v>91</v>
      </c>
      <c r="I863" s="5">
        <f>SUM(F863:H863)</f>
        <v>250</v>
      </c>
      <c r="J863" s="7">
        <f>AVERAGE(F863:H863)</f>
        <v>83.333333333333329</v>
      </c>
      <c r="K863" s="8">
        <f>I863/300</f>
        <v>0.83333333333333337</v>
      </c>
      <c r="L863" s="5">
        <f>_xlfn.RANK.EQ(J863,$J$2:$J$1001,0)</f>
        <v>135</v>
      </c>
    </row>
    <row r="864" spans="1:12" x14ac:dyDescent="0.3">
      <c r="A864" s="5" t="s">
        <v>8</v>
      </c>
      <c r="B864" s="5" t="s">
        <v>18</v>
      </c>
      <c r="C864" s="5" t="s">
        <v>22</v>
      </c>
      <c r="D864" s="5" t="s">
        <v>20</v>
      </c>
      <c r="E864" s="5" t="s">
        <v>15</v>
      </c>
      <c r="F864" s="5">
        <v>77</v>
      </c>
      <c r="G864" s="5">
        <v>88</v>
      </c>
      <c r="H864" s="6">
        <v>85</v>
      </c>
      <c r="I864" s="5">
        <f>SUM(F864:H864)</f>
        <v>250</v>
      </c>
      <c r="J864" s="7">
        <f>AVERAGE(F864:H864)</f>
        <v>83.333333333333329</v>
      </c>
      <c r="K864" s="8">
        <f>I864/300</f>
        <v>0.83333333333333337</v>
      </c>
      <c r="L864" s="5">
        <f>_xlfn.RANK.EQ(J864,$J$2:$J$1001,0)</f>
        <v>135</v>
      </c>
    </row>
    <row r="865" spans="1:12" x14ac:dyDescent="0.3">
      <c r="A865" s="5" t="s">
        <v>8</v>
      </c>
      <c r="B865" s="5" t="s">
        <v>24</v>
      </c>
      <c r="C865" s="5" t="s">
        <v>23</v>
      </c>
      <c r="D865" s="5" t="s">
        <v>11</v>
      </c>
      <c r="E865" s="5" t="s">
        <v>15</v>
      </c>
      <c r="F865" s="5">
        <v>80</v>
      </c>
      <c r="G865" s="5">
        <v>85</v>
      </c>
      <c r="H865" s="6">
        <v>85</v>
      </c>
      <c r="I865" s="5">
        <f>SUM(F865:H865)</f>
        <v>250</v>
      </c>
      <c r="J865" s="7">
        <f>AVERAGE(F865:H865)</f>
        <v>83.333333333333329</v>
      </c>
      <c r="K865" s="8">
        <f>I865/300</f>
        <v>0.83333333333333337</v>
      </c>
      <c r="L865" s="5">
        <f>_xlfn.RANK.EQ(J865,$J$2:$J$1001,0)</f>
        <v>135</v>
      </c>
    </row>
    <row r="866" spans="1:12" x14ac:dyDescent="0.3">
      <c r="A866" s="5" t="s">
        <v>17</v>
      </c>
      <c r="B866" s="5" t="s">
        <v>24</v>
      </c>
      <c r="C866" s="5" t="s">
        <v>23</v>
      </c>
      <c r="D866" s="5" t="s">
        <v>11</v>
      </c>
      <c r="E866" s="5" t="s">
        <v>15</v>
      </c>
      <c r="F866" s="5">
        <v>89</v>
      </c>
      <c r="G866" s="5">
        <v>84</v>
      </c>
      <c r="H866" s="6">
        <v>77</v>
      </c>
      <c r="I866" s="5">
        <f>SUM(F866:H866)</f>
        <v>250</v>
      </c>
      <c r="J866" s="7">
        <f>AVERAGE(F866:H866)</f>
        <v>83.333333333333329</v>
      </c>
      <c r="K866" s="8">
        <f>I866/300</f>
        <v>0.83333333333333337</v>
      </c>
      <c r="L866" s="5">
        <f>_xlfn.RANK.EQ(J866,$J$2:$J$1001,0)</f>
        <v>135</v>
      </c>
    </row>
    <row r="867" spans="1:12" x14ac:dyDescent="0.3">
      <c r="A867" s="5" t="s">
        <v>17</v>
      </c>
      <c r="B867" s="5" t="s">
        <v>9</v>
      </c>
      <c r="C867" s="5" t="s">
        <v>23</v>
      </c>
      <c r="D867" s="5" t="s">
        <v>11</v>
      </c>
      <c r="E867" s="5" t="s">
        <v>15</v>
      </c>
      <c r="F867" s="5">
        <v>79</v>
      </c>
      <c r="G867" s="5">
        <v>85</v>
      </c>
      <c r="H867" s="6">
        <v>86</v>
      </c>
      <c r="I867" s="5">
        <f>SUM(F867:H867)</f>
        <v>250</v>
      </c>
      <c r="J867" s="7">
        <f>AVERAGE(F867:H867)</f>
        <v>83.333333333333329</v>
      </c>
      <c r="K867" s="8">
        <f>I867/300</f>
        <v>0.83333333333333337</v>
      </c>
      <c r="L867" s="5">
        <f>_xlfn.RANK.EQ(J867,$J$2:$J$1001,0)</f>
        <v>135</v>
      </c>
    </row>
    <row r="868" spans="1:12" x14ac:dyDescent="0.3">
      <c r="A868" s="5" t="s">
        <v>8</v>
      </c>
      <c r="B868" s="5" t="s">
        <v>13</v>
      </c>
      <c r="C868" s="5" t="s">
        <v>19</v>
      </c>
      <c r="D868" s="5" t="s">
        <v>11</v>
      </c>
      <c r="E868" s="5" t="s">
        <v>12</v>
      </c>
      <c r="F868" s="5">
        <v>85</v>
      </c>
      <c r="G868" s="5">
        <v>84</v>
      </c>
      <c r="H868" s="6">
        <v>82</v>
      </c>
      <c r="I868" s="5">
        <f>SUM(F868:H868)</f>
        <v>251</v>
      </c>
      <c r="J868" s="7">
        <f>AVERAGE(F868:H868)</f>
        <v>83.666666666666671</v>
      </c>
      <c r="K868" s="8">
        <f>I868/300</f>
        <v>0.83666666666666667</v>
      </c>
      <c r="L868" s="5">
        <f>_xlfn.RANK.EQ(J868,$J$2:$J$1001,0)</f>
        <v>131</v>
      </c>
    </row>
    <row r="869" spans="1:12" x14ac:dyDescent="0.3">
      <c r="A869" s="5" t="s">
        <v>8</v>
      </c>
      <c r="B869" s="5" t="s">
        <v>9</v>
      </c>
      <c r="C869" s="5" t="s">
        <v>16</v>
      </c>
      <c r="D869" s="5" t="s">
        <v>11</v>
      </c>
      <c r="E869" s="5" t="s">
        <v>12</v>
      </c>
      <c r="F869" s="5">
        <v>77</v>
      </c>
      <c r="G869" s="5">
        <v>90</v>
      </c>
      <c r="H869" s="6">
        <v>84</v>
      </c>
      <c r="I869" s="5">
        <f>SUM(F869:H869)</f>
        <v>251</v>
      </c>
      <c r="J869" s="7">
        <f>AVERAGE(F869:H869)</f>
        <v>83.666666666666671</v>
      </c>
      <c r="K869" s="8">
        <f>I869/300</f>
        <v>0.83666666666666667</v>
      </c>
      <c r="L869" s="5">
        <f>_xlfn.RANK.EQ(J869,$J$2:$J$1001,0)</f>
        <v>131</v>
      </c>
    </row>
    <row r="870" spans="1:12" x14ac:dyDescent="0.3">
      <c r="A870" s="5" t="s">
        <v>17</v>
      </c>
      <c r="B870" s="5" t="s">
        <v>13</v>
      </c>
      <c r="C870" s="5" t="s">
        <v>10</v>
      </c>
      <c r="D870" s="5" t="s">
        <v>11</v>
      </c>
      <c r="E870" s="5" t="s">
        <v>15</v>
      </c>
      <c r="F870" s="5">
        <v>91</v>
      </c>
      <c r="G870" s="5">
        <v>81</v>
      </c>
      <c r="H870" s="6">
        <v>79</v>
      </c>
      <c r="I870" s="5">
        <f>SUM(F870:H870)</f>
        <v>251</v>
      </c>
      <c r="J870" s="7">
        <f>AVERAGE(F870:H870)</f>
        <v>83.666666666666671</v>
      </c>
      <c r="K870" s="8">
        <f>I870/300</f>
        <v>0.83666666666666667</v>
      </c>
      <c r="L870" s="5">
        <f>_xlfn.RANK.EQ(J870,$J$2:$J$1001,0)</f>
        <v>131</v>
      </c>
    </row>
    <row r="871" spans="1:12" x14ac:dyDescent="0.3">
      <c r="A871" s="5" t="s">
        <v>17</v>
      </c>
      <c r="B871" s="5" t="s">
        <v>21</v>
      </c>
      <c r="C871" s="5" t="s">
        <v>14</v>
      </c>
      <c r="D871" s="5" t="s">
        <v>11</v>
      </c>
      <c r="E871" s="5" t="s">
        <v>15</v>
      </c>
      <c r="F871" s="5">
        <v>85</v>
      </c>
      <c r="G871" s="5">
        <v>81</v>
      </c>
      <c r="H871" s="6">
        <v>85</v>
      </c>
      <c r="I871" s="5">
        <f>SUM(F871:H871)</f>
        <v>251</v>
      </c>
      <c r="J871" s="7">
        <f>AVERAGE(F871:H871)</f>
        <v>83.666666666666671</v>
      </c>
      <c r="K871" s="8">
        <f>I871/300</f>
        <v>0.83666666666666667</v>
      </c>
      <c r="L871" s="5">
        <f>_xlfn.RANK.EQ(J871,$J$2:$J$1001,0)</f>
        <v>131</v>
      </c>
    </row>
    <row r="872" spans="1:12" x14ac:dyDescent="0.3">
      <c r="A872" s="5" t="s">
        <v>8</v>
      </c>
      <c r="B872" s="5" t="s">
        <v>13</v>
      </c>
      <c r="C872" s="5" t="s">
        <v>10</v>
      </c>
      <c r="D872" s="5" t="s">
        <v>11</v>
      </c>
      <c r="E872" s="5" t="s">
        <v>12</v>
      </c>
      <c r="F872" s="5">
        <v>77</v>
      </c>
      <c r="G872" s="5">
        <v>88</v>
      </c>
      <c r="H872" s="6">
        <v>87</v>
      </c>
      <c r="I872" s="5">
        <f>SUM(F872:H872)</f>
        <v>252</v>
      </c>
      <c r="J872" s="7">
        <f>AVERAGE(F872:H872)</f>
        <v>84</v>
      </c>
      <c r="K872" s="8">
        <f>I872/300</f>
        <v>0.84</v>
      </c>
      <c r="L872" s="5">
        <f>_xlfn.RANK.EQ(J872,$J$2:$J$1001,0)</f>
        <v>123</v>
      </c>
    </row>
    <row r="873" spans="1:12" x14ac:dyDescent="0.3">
      <c r="A873" s="5" t="s">
        <v>17</v>
      </c>
      <c r="B873" s="5" t="s">
        <v>21</v>
      </c>
      <c r="C873" s="5" t="s">
        <v>19</v>
      </c>
      <c r="D873" s="5" t="s">
        <v>20</v>
      </c>
      <c r="E873" s="5" t="s">
        <v>12</v>
      </c>
      <c r="F873" s="5">
        <v>90</v>
      </c>
      <c r="G873" s="5">
        <v>87</v>
      </c>
      <c r="H873" s="6">
        <v>75</v>
      </c>
      <c r="I873" s="5">
        <f>SUM(F873:H873)</f>
        <v>252</v>
      </c>
      <c r="J873" s="7">
        <f>AVERAGE(F873:H873)</f>
        <v>84</v>
      </c>
      <c r="K873" s="8">
        <f>I873/300</f>
        <v>0.84</v>
      </c>
      <c r="L873" s="5">
        <f>_xlfn.RANK.EQ(J873,$J$2:$J$1001,0)</f>
        <v>123</v>
      </c>
    </row>
    <row r="874" spans="1:12" x14ac:dyDescent="0.3">
      <c r="A874" s="5" t="s">
        <v>8</v>
      </c>
      <c r="B874" s="5" t="s">
        <v>21</v>
      </c>
      <c r="C874" s="5" t="s">
        <v>23</v>
      </c>
      <c r="D874" s="5" t="s">
        <v>11</v>
      </c>
      <c r="E874" s="5" t="s">
        <v>12</v>
      </c>
      <c r="F874" s="5">
        <v>80</v>
      </c>
      <c r="G874" s="5">
        <v>90</v>
      </c>
      <c r="H874" s="6">
        <v>82</v>
      </c>
      <c r="I874" s="5">
        <f>SUM(F874:H874)</f>
        <v>252</v>
      </c>
      <c r="J874" s="7">
        <f>AVERAGE(F874:H874)</f>
        <v>84</v>
      </c>
      <c r="K874" s="8">
        <f>I874/300</f>
        <v>0.84</v>
      </c>
      <c r="L874" s="5">
        <f>_xlfn.RANK.EQ(J874,$J$2:$J$1001,0)</f>
        <v>123</v>
      </c>
    </row>
    <row r="875" spans="1:12" x14ac:dyDescent="0.3">
      <c r="A875" s="5" t="s">
        <v>8</v>
      </c>
      <c r="B875" s="5" t="s">
        <v>21</v>
      </c>
      <c r="C875" s="5" t="s">
        <v>19</v>
      </c>
      <c r="D875" s="5" t="s">
        <v>20</v>
      </c>
      <c r="E875" s="5" t="s">
        <v>15</v>
      </c>
      <c r="F875" s="5">
        <v>74</v>
      </c>
      <c r="G875" s="5">
        <v>88</v>
      </c>
      <c r="H875" s="6">
        <v>90</v>
      </c>
      <c r="I875" s="5">
        <f>SUM(F875:H875)</f>
        <v>252</v>
      </c>
      <c r="J875" s="7">
        <f>AVERAGE(F875:H875)</f>
        <v>84</v>
      </c>
      <c r="K875" s="8">
        <f>I875/300</f>
        <v>0.84</v>
      </c>
      <c r="L875" s="5">
        <f>_xlfn.RANK.EQ(J875,$J$2:$J$1001,0)</f>
        <v>123</v>
      </c>
    </row>
    <row r="876" spans="1:12" x14ac:dyDescent="0.3">
      <c r="A876" s="5" t="s">
        <v>8</v>
      </c>
      <c r="B876" s="5" t="s">
        <v>9</v>
      </c>
      <c r="C876" s="5" t="s">
        <v>23</v>
      </c>
      <c r="D876" s="5" t="s">
        <v>20</v>
      </c>
      <c r="E876" s="5" t="s">
        <v>15</v>
      </c>
      <c r="F876" s="5">
        <v>74</v>
      </c>
      <c r="G876" s="5">
        <v>90</v>
      </c>
      <c r="H876" s="6">
        <v>88</v>
      </c>
      <c r="I876" s="5">
        <f>SUM(F876:H876)</f>
        <v>252</v>
      </c>
      <c r="J876" s="7">
        <f>AVERAGE(F876:H876)</f>
        <v>84</v>
      </c>
      <c r="K876" s="8">
        <f>I876/300</f>
        <v>0.84</v>
      </c>
      <c r="L876" s="5">
        <f>_xlfn.RANK.EQ(J876,$J$2:$J$1001,0)</f>
        <v>123</v>
      </c>
    </row>
    <row r="877" spans="1:12" x14ac:dyDescent="0.3">
      <c r="A877" s="5" t="s">
        <v>8</v>
      </c>
      <c r="B877" s="5" t="s">
        <v>13</v>
      </c>
      <c r="C877" s="5" t="s">
        <v>23</v>
      </c>
      <c r="D877" s="5" t="s">
        <v>11</v>
      </c>
      <c r="E877" s="5" t="s">
        <v>15</v>
      </c>
      <c r="F877" s="5">
        <v>77</v>
      </c>
      <c r="G877" s="5">
        <v>90</v>
      </c>
      <c r="H877" s="6">
        <v>85</v>
      </c>
      <c r="I877" s="5">
        <f>SUM(F877:H877)</f>
        <v>252</v>
      </c>
      <c r="J877" s="7">
        <f>AVERAGE(F877:H877)</f>
        <v>84</v>
      </c>
      <c r="K877" s="8">
        <f>I877/300</f>
        <v>0.84</v>
      </c>
      <c r="L877" s="5">
        <f>_xlfn.RANK.EQ(J877,$J$2:$J$1001,0)</f>
        <v>123</v>
      </c>
    </row>
    <row r="878" spans="1:12" x14ac:dyDescent="0.3">
      <c r="A878" s="5" t="s">
        <v>17</v>
      </c>
      <c r="B878" s="5" t="s">
        <v>21</v>
      </c>
      <c r="C878" s="5" t="s">
        <v>14</v>
      </c>
      <c r="D878" s="5" t="s">
        <v>11</v>
      </c>
      <c r="E878" s="5" t="s">
        <v>15</v>
      </c>
      <c r="F878" s="5">
        <v>82</v>
      </c>
      <c r="G878" s="5">
        <v>82</v>
      </c>
      <c r="H878" s="6">
        <v>88</v>
      </c>
      <c r="I878" s="5">
        <f>SUM(F878:H878)</f>
        <v>252</v>
      </c>
      <c r="J878" s="7">
        <f>AVERAGE(F878:H878)</f>
        <v>84</v>
      </c>
      <c r="K878" s="8">
        <f>I878/300</f>
        <v>0.84</v>
      </c>
      <c r="L878" s="5">
        <f>_xlfn.RANK.EQ(J878,$J$2:$J$1001,0)</f>
        <v>123</v>
      </c>
    </row>
    <row r="879" spans="1:12" x14ac:dyDescent="0.3">
      <c r="A879" s="5" t="s">
        <v>17</v>
      </c>
      <c r="B879" s="5" t="s">
        <v>13</v>
      </c>
      <c r="C879" s="5" t="s">
        <v>14</v>
      </c>
      <c r="D879" s="5" t="s">
        <v>11</v>
      </c>
      <c r="E879" s="5" t="s">
        <v>12</v>
      </c>
      <c r="F879" s="5">
        <v>84</v>
      </c>
      <c r="G879" s="5">
        <v>87</v>
      </c>
      <c r="H879" s="6">
        <v>81</v>
      </c>
      <c r="I879" s="5">
        <f>SUM(F879:H879)</f>
        <v>252</v>
      </c>
      <c r="J879" s="7">
        <f>AVERAGE(F879:H879)</f>
        <v>84</v>
      </c>
      <c r="K879" s="8">
        <f>I879/300</f>
        <v>0.84</v>
      </c>
      <c r="L879" s="5">
        <f>_xlfn.RANK.EQ(J879,$J$2:$J$1001,0)</f>
        <v>123</v>
      </c>
    </row>
    <row r="880" spans="1:12" x14ac:dyDescent="0.3">
      <c r="A880" s="5" t="s">
        <v>8</v>
      </c>
      <c r="B880" s="5" t="s">
        <v>21</v>
      </c>
      <c r="C880" s="5" t="s">
        <v>19</v>
      </c>
      <c r="D880" s="5" t="s">
        <v>20</v>
      </c>
      <c r="E880" s="5" t="s">
        <v>15</v>
      </c>
      <c r="F880" s="5">
        <v>75</v>
      </c>
      <c r="G880" s="5">
        <v>90</v>
      </c>
      <c r="H880" s="6">
        <v>88</v>
      </c>
      <c r="I880" s="5">
        <f>SUM(F880:H880)</f>
        <v>253</v>
      </c>
      <c r="J880" s="7">
        <f>AVERAGE(F880:H880)</f>
        <v>84.333333333333329</v>
      </c>
      <c r="K880" s="8">
        <f>I880/300</f>
        <v>0.84333333333333338</v>
      </c>
      <c r="L880" s="5">
        <f>_xlfn.RANK.EQ(J880,$J$2:$J$1001,0)</f>
        <v>121</v>
      </c>
    </row>
    <row r="881" spans="1:12" x14ac:dyDescent="0.3">
      <c r="A881" s="5" t="s">
        <v>8</v>
      </c>
      <c r="B881" s="5" t="s">
        <v>24</v>
      </c>
      <c r="C881" s="5" t="s">
        <v>19</v>
      </c>
      <c r="D881" s="5" t="s">
        <v>11</v>
      </c>
      <c r="E881" s="5" t="s">
        <v>15</v>
      </c>
      <c r="F881" s="5">
        <v>82</v>
      </c>
      <c r="G881" s="5">
        <v>85</v>
      </c>
      <c r="H881" s="6">
        <v>86</v>
      </c>
      <c r="I881" s="5">
        <f>SUM(F881:H881)</f>
        <v>253</v>
      </c>
      <c r="J881" s="7">
        <f>AVERAGE(F881:H881)</f>
        <v>84.333333333333329</v>
      </c>
      <c r="K881" s="8">
        <f>I881/300</f>
        <v>0.84333333333333338</v>
      </c>
      <c r="L881" s="5">
        <f>_xlfn.RANK.EQ(J881,$J$2:$J$1001,0)</f>
        <v>121</v>
      </c>
    </row>
    <row r="882" spans="1:12" x14ac:dyDescent="0.3">
      <c r="A882" s="5" t="s">
        <v>8</v>
      </c>
      <c r="B882" s="5" t="s">
        <v>21</v>
      </c>
      <c r="C882" s="5" t="s">
        <v>14</v>
      </c>
      <c r="D882" s="5" t="s">
        <v>20</v>
      </c>
      <c r="E882" s="5" t="s">
        <v>12</v>
      </c>
      <c r="F882" s="5">
        <v>79</v>
      </c>
      <c r="G882" s="5">
        <v>89</v>
      </c>
      <c r="H882" s="6">
        <v>86</v>
      </c>
      <c r="I882" s="5">
        <f>SUM(F882:H882)</f>
        <v>254</v>
      </c>
      <c r="J882" s="7">
        <f>AVERAGE(F882:H882)</f>
        <v>84.666666666666671</v>
      </c>
      <c r="K882" s="8">
        <f>I882/300</f>
        <v>0.84666666666666668</v>
      </c>
      <c r="L882" s="5">
        <f>_xlfn.RANK.EQ(J882,$J$2:$J$1001,0)</f>
        <v>117</v>
      </c>
    </row>
    <row r="883" spans="1:12" x14ac:dyDescent="0.3">
      <c r="A883" s="5" t="s">
        <v>8</v>
      </c>
      <c r="B883" s="5" t="s">
        <v>9</v>
      </c>
      <c r="C883" s="5" t="s">
        <v>14</v>
      </c>
      <c r="D883" s="5" t="s">
        <v>11</v>
      </c>
      <c r="E883" s="5" t="s">
        <v>12</v>
      </c>
      <c r="F883" s="5">
        <v>82</v>
      </c>
      <c r="G883" s="5">
        <v>85</v>
      </c>
      <c r="H883" s="6">
        <v>87</v>
      </c>
      <c r="I883" s="5">
        <f>SUM(F883:H883)</f>
        <v>254</v>
      </c>
      <c r="J883" s="7">
        <f>AVERAGE(F883:H883)</f>
        <v>84.666666666666671</v>
      </c>
      <c r="K883" s="8">
        <f>I883/300</f>
        <v>0.84666666666666668</v>
      </c>
      <c r="L883" s="5">
        <f>_xlfn.RANK.EQ(J883,$J$2:$J$1001,0)</f>
        <v>117</v>
      </c>
    </row>
    <row r="884" spans="1:12" x14ac:dyDescent="0.3">
      <c r="A884" s="5" t="s">
        <v>8</v>
      </c>
      <c r="B884" s="5" t="s">
        <v>24</v>
      </c>
      <c r="C884" s="5" t="s">
        <v>16</v>
      </c>
      <c r="D884" s="5" t="s">
        <v>20</v>
      </c>
      <c r="E884" s="5" t="s">
        <v>12</v>
      </c>
      <c r="F884" s="5">
        <v>81</v>
      </c>
      <c r="G884" s="5">
        <v>86</v>
      </c>
      <c r="H884" s="6">
        <v>87</v>
      </c>
      <c r="I884" s="5">
        <f>SUM(F884:H884)</f>
        <v>254</v>
      </c>
      <c r="J884" s="7">
        <f>AVERAGE(F884:H884)</f>
        <v>84.666666666666671</v>
      </c>
      <c r="K884" s="8">
        <f>I884/300</f>
        <v>0.84666666666666668</v>
      </c>
      <c r="L884" s="5">
        <f>_xlfn.RANK.EQ(J884,$J$2:$J$1001,0)</f>
        <v>117</v>
      </c>
    </row>
    <row r="885" spans="1:12" x14ac:dyDescent="0.3">
      <c r="A885" s="5" t="s">
        <v>8</v>
      </c>
      <c r="B885" s="5" t="s">
        <v>21</v>
      </c>
      <c r="C885" s="5" t="s">
        <v>14</v>
      </c>
      <c r="D885" s="5" t="s">
        <v>11</v>
      </c>
      <c r="E885" s="5" t="s">
        <v>15</v>
      </c>
      <c r="F885" s="5">
        <v>79</v>
      </c>
      <c r="G885" s="5">
        <v>84</v>
      </c>
      <c r="H885" s="6">
        <v>91</v>
      </c>
      <c r="I885" s="5">
        <f>SUM(F885:H885)</f>
        <v>254</v>
      </c>
      <c r="J885" s="7">
        <f>AVERAGE(F885:H885)</f>
        <v>84.666666666666671</v>
      </c>
      <c r="K885" s="8">
        <f>I885/300</f>
        <v>0.84666666666666668</v>
      </c>
      <c r="L885" s="5">
        <f>_xlfn.RANK.EQ(J885,$J$2:$J$1001,0)</f>
        <v>117</v>
      </c>
    </row>
    <row r="886" spans="1:12" x14ac:dyDescent="0.3">
      <c r="A886" s="5" t="s">
        <v>17</v>
      </c>
      <c r="B886" s="5" t="s">
        <v>21</v>
      </c>
      <c r="C886" s="5" t="s">
        <v>16</v>
      </c>
      <c r="D886" s="5" t="s">
        <v>11</v>
      </c>
      <c r="E886" s="5" t="s">
        <v>12</v>
      </c>
      <c r="F886" s="5">
        <v>89</v>
      </c>
      <c r="G886" s="5">
        <v>84</v>
      </c>
      <c r="H886" s="6">
        <v>82</v>
      </c>
      <c r="I886" s="5">
        <f>SUM(F886:H886)</f>
        <v>255</v>
      </c>
      <c r="J886" s="7">
        <f>AVERAGE(F886:H886)</f>
        <v>85</v>
      </c>
      <c r="K886" s="8">
        <f>I886/300</f>
        <v>0.85</v>
      </c>
      <c r="L886" s="5">
        <f>_xlfn.RANK.EQ(J886,$J$2:$J$1001,0)</f>
        <v>113</v>
      </c>
    </row>
    <row r="887" spans="1:12" x14ac:dyDescent="0.3">
      <c r="A887" s="5" t="s">
        <v>17</v>
      </c>
      <c r="B887" s="5" t="s">
        <v>13</v>
      </c>
      <c r="C887" s="5" t="s">
        <v>10</v>
      </c>
      <c r="D887" s="5" t="s">
        <v>11</v>
      </c>
      <c r="E887" s="5" t="s">
        <v>12</v>
      </c>
      <c r="F887" s="5">
        <v>86</v>
      </c>
      <c r="G887" s="5">
        <v>83</v>
      </c>
      <c r="H887" s="6">
        <v>86</v>
      </c>
      <c r="I887" s="5">
        <f>SUM(F887:H887)</f>
        <v>255</v>
      </c>
      <c r="J887" s="7">
        <f>AVERAGE(F887:H887)</f>
        <v>85</v>
      </c>
      <c r="K887" s="8">
        <f>I887/300</f>
        <v>0.85</v>
      </c>
      <c r="L887" s="5">
        <f>_xlfn.RANK.EQ(J887,$J$2:$J$1001,0)</f>
        <v>113</v>
      </c>
    </row>
    <row r="888" spans="1:12" x14ac:dyDescent="0.3">
      <c r="A888" s="5" t="s">
        <v>17</v>
      </c>
      <c r="B888" s="5" t="s">
        <v>21</v>
      </c>
      <c r="C888" s="5" t="s">
        <v>22</v>
      </c>
      <c r="D888" s="5" t="s">
        <v>11</v>
      </c>
      <c r="E888" s="5" t="s">
        <v>12</v>
      </c>
      <c r="F888" s="5">
        <v>89</v>
      </c>
      <c r="G888" s="5">
        <v>87</v>
      </c>
      <c r="H888" s="6">
        <v>79</v>
      </c>
      <c r="I888" s="5">
        <f>SUM(F888:H888)</f>
        <v>255</v>
      </c>
      <c r="J888" s="7">
        <f>AVERAGE(F888:H888)</f>
        <v>85</v>
      </c>
      <c r="K888" s="8">
        <f>I888/300</f>
        <v>0.85</v>
      </c>
      <c r="L888" s="5">
        <f>_xlfn.RANK.EQ(J888,$J$2:$J$1001,0)</f>
        <v>113</v>
      </c>
    </row>
    <row r="889" spans="1:12" x14ac:dyDescent="0.3">
      <c r="A889" s="5" t="s">
        <v>17</v>
      </c>
      <c r="B889" s="5" t="s">
        <v>13</v>
      </c>
      <c r="C889" s="5" t="s">
        <v>19</v>
      </c>
      <c r="D889" s="5" t="s">
        <v>11</v>
      </c>
      <c r="E889" s="5" t="s">
        <v>12</v>
      </c>
      <c r="F889" s="5">
        <v>92</v>
      </c>
      <c r="G889" s="5">
        <v>79</v>
      </c>
      <c r="H889" s="6">
        <v>84</v>
      </c>
      <c r="I889" s="5">
        <f>SUM(F889:H889)</f>
        <v>255</v>
      </c>
      <c r="J889" s="7">
        <f>AVERAGE(F889:H889)</f>
        <v>85</v>
      </c>
      <c r="K889" s="8">
        <f>I889/300</f>
        <v>0.85</v>
      </c>
      <c r="L889" s="5">
        <f>_xlfn.RANK.EQ(J889,$J$2:$J$1001,0)</f>
        <v>113</v>
      </c>
    </row>
    <row r="890" spans="1:12" x14ac:dyDescent="0.3">
      <c r="A890" s="5" t="s">
        <v>17</v>
      </c>
      <c r="B890" s="5" t="s">
        <v>21</v>
      </c>
      <c r="C890" s="5" t="s">
        <v>19</v>
      </c>
      <c r="D890" s="5" t="s">
        <v>11</v>
      </c>
      <c r="E890" s="5" t="s">
        <v>15</v>
      </c>
      <c r="F890" s="5">
        <v>87</v>
      </c>
      <c r="G890" s="5">
        <v>84</v>
      </c>
      <c r="H890" s="6">
        <v>85</v>
      </c>
      <c r="I890" s="5">
        <f>SUM(F890:H890)</f>
        <v>256</v>
      </c>
      <c r="J890" s="7">
        <f>AVERAGE(F890:H890)</f>
        <v>85.333333333333329</v>
      </c>
      <c r="K890" s="8">
        <f>I890/300</f>
        <v>0.85333333333333339</v>
      </c>
      <c r="L890" s="5">
        <f>_xlfn.RANK.EQ(J890,$J$2:$J$1001,0)</f>
        <v>109</v>
      </c>
    </row>
    <row r="891" spans="1:12" x14ac:dyDescent="0.3">
      <c r="A891" s="5" t="s">
        <v>8</v>
      </c>
      <c r="B891" s="5" t="s">
        <v>13</v>
      </c>
      <c r="C891" s="5" t="s">
        <v>14</v>
      </c>
      <c r="D891" s="5" t="s">
        <v>11</v>
      </c>
      <c r="E891" s="5" t="s">
        <v>12</v>
      </c>
      <c r="F891" s="5">
        <v>83</v>
      </c>
      <c r="G891" s="5">
        <v>83</v>
      </c>
      <c r="H891" s="6">
        <v>90</v>
      </c>
      <c r="I891" s="5">
        <f>SUM(F891:H891)</f>
        <v>256</v>
      </c>
      <c r="J891" s="7">
        <f>AVERAGE(F891:H891)</f>
        <v>85.333333333333329</v>
      </c>
      <c r="K891" s="8">
        <f>I891/300</f>
        <v>0.85333333333333339</v>
      </c>
      <c r="L891" s="5">
        <f>_xlfn.RANK.EQ(J891,$J$2:$J$1001,0)</f>
        <v>109</v>
      </c>
    </row>
    <row r="892" spans="1:12" x14ac:dyDescent="0.3">
      <c r="A892" s="5" t="s">
        <v>8</v>
      </c>
      <c r="B892" s="5" t="s">
        <v>13</v>
      </c>
      <c r="C892" s="5" t="s">
        <v>23</v>
      </c>
      <c r="D892" s="5" t="s">
        <v>11</v>
      </c>
      <c r="E892" s="5" t="s">
        <v>12</v>
      </c>
      <c r="F892" s="5">
        <v>77</v>
      </c>
      <c r="G892" s="5">
        <v>91</v>
      </c>
      <c r="H892" s="6">
        <v>88</v>
      </c>
      <c r="I892" s="5">
        <f>SUM(F892:H892)</f>
        <v>256</v>
      </c>
      <c r="J892" s="7">
        <f>AVERAGE(F892:H892)</f>
        <v>85.333333333333329</v>
      </c>
      <c r="K892" s="8">
        <f>I892/300</f>
        <v>0.85333333333333339</v>
      </c>
      <c r="L892" s="5">
        <f>_xlfn.RANK.EQ(J892,$J$2:$J$1001,0)</f>
        <v>109</v>
      </c>
    </row>
    <row r="893" spans="1:12" x14ac:dyDescent="0.3">
      <c r="A893" s="5" t="s">
        <v>8</v>
      </c>
      <c r="B893" s="5" t="s">
        <v>18</v>
      </c>
      <c r="C893" s="5" t="s">
        <v>14</v>
      </c>
      <c r="D893" s="5" t="s">
        <v>11</v>
      </c>
      <c r="E893" s="5" t="s">
        <v>15</v>
      </c>
      <c r="F893" s="5">
        <v>78</v>
      </c>
      <c r="G893" s="5">
        <v>87</v>
      </c>
      <c r="H893" s="6">
        <v>91</v>
      </c>
      <c r="I893" s="5">
        <f>SUM(F893:H893)</f>
        <v>256</v>
      </c>
      <c r="J893" s="7">
        <f>AVERAGE(F893:H893)</f>
        <v>85.333333333333329</v>
      </c>
      <c r="K893" s="8">
        <f>I893/300</f>
        <v>0.85333333333333339</v>
      </c>
      <c r="L893" s="5">
        <f>_xlfn.RANK.EQ(J893,$J$2:$J$1001,0)</f>
        <v>109</v>
      </c>
    </row>
    <row r="894" spans="1:12" x14ac:dyDescent="0.3">
      <c r="A894" s="5" t="s">
        <v>8</v>
      </c>
      <c r="B894" s="5" t="s">
        <v>9</v>
      </c>
      <c r="C894" s="5" t="s">
        <v>14</v>
      </c>
      <c r="D894" s="5" t="s">
        <v>11</v>
      </c>
      <c r="E894" s="5" t="s">
        <v>12</v>
      </c>
      <c r="F894" s="5">
        <v>79</v>
      </c>
      <c r="G894" s="5">
        <v>86</v>
      </c>
      <c r="H894" s="6">
        <v>92</v>
      </c>
      <c r="I894" s="5">
        <f>SUM(F894:H894)</f>
        <v>257</v>
      </c>
      <c r="J894" s="7">
        <f>AVERAGE(F894:H894)</f>
        <v>85.666666666666671</v>
      </c>
      <c r="K894" s="8">
        <f>I894/300</f>
        <v>0.85666666666666669</v>
      </c>
      <c r="L894" s="5">
        <f>_xlfn.RANK.EQ(J894,$J$2:$J$1001,0)</f>
        <v>103</v>
      </c>
    </row>
    <row r="895" spans="1:12" x14ac:dyDescent="0.3">
      <c r="A895" s="5" t="s">
        <v>8</v>
      </c>
      <c r="B895" s="5" t="s">
        <v>24</v>
      </c>
      <c r="C895" s="5" t="s">
        <v>19</v>
      </c>
      <c r="D895" s="5" t="s">
        <v>20</v>
      </c>
      <c r="E895" s="5" t="s">
        <v>15</v>
      </c>
      <c r="F895" s="5">
        <v>83</v>
      </c>
      <c r="G895" s="5">
        <v>86</v>
      </c>
      <c r="H895" s="6">
        <v>88</v>
      </c>
      <c r="I895" s="5">
        <f>SUM(F895:H895)</f>
        <v>257</v>
      </c>
      <c r="J895" s="7">
        <f>AVERAGE(F895:H895)</f>
        <v>85.666666666666671</v>
      </c>
      <c r="K895" s="8">
        <f>I895/300</f>
        <v>0.85666666666666669</v>
      </c>
      <c r="L895" s="5">
        <f>_xlfn.RANK.EQ(J895,$J$2:$J$1001,0)</f>
        <v>103</v>
      </c>
    </row>
    <row r="896" spans="1:12" x14ac:dyDescent="0.3">
      <c r="A896" s="5" t="s">
        <v>17</v>
      </c>
      <c r="B896" s="5" t="s">
        <v>24</v>
      </c>
      <c r="C896" s="5" t="s">
        <v>23</v>
      </c>
      <c r="D896" s="5" t="s">
        <v>11</v>
      </c>
      <c r="E896" s="5" t="s">
        <v>12</v>
      </c>
      <c r="F896" s="5">
        <v>92</v>
      </c>
      <c r="G896" s="5">
        <v>87</v>
      </c>
      <c r="H896" s="6">
        <v>78</v>
      </c>
      <c r="I896" s="5">
        <f>SUM(F896:H896)</f>
        <v>257</v>
      </c>
      <c r="J896" s="7">
        <f>AVERAGE(F896:H896)</f>
        <v>85.666666666666671</v>
      </c>
      <c r="K896" s="8">
        <f>I896/300</f>
        <v>0.85666666666666669</v>
      </c>
      <c r="L896" s="5">
        <f>_xlfn.RANK.EQ(J896,$J$2:$J$1001,0)</f>
        <v>103</v>
      </c>
    </row>
    <row r="897" spans="1:12" x14ac:dyDescent="0.3">
      <c r="A897" s="5" t="s">
        <v>8</v>
      </c>
      <c r="B897" s="5" t="s">
        <v>21</v>
      </c>
      <c r="C897" s="5" t="s">
        <v>10</v>
      </c>
      <c r="D897" s="5" t="s">
        <v>11</v>
      </c>
      <c r="E897" s="5" t="s">
        <v>12</v>
      </c>
      <c r="F897" s="5">
        <v>79</v>
      </c>
      <c r="G897" s="5">
        <v>89</v>
      </c>
      <c r="H897" s="6">
        <v>89</v>
      </c>
      <c r="I897" s="5">
        <f>SUM(F897:H897)</f>
        <v>257</v>
      </c>
      <c r="J897" s="7">
        <f>AVERAGE(F897:H897)</f>
        <v>85.666666666666671</v>
      </c>
      <c r="K897" s="8">
        <f>I897/300</f>
        <v>0.85666666666666669</v>
      </c>
      <c r="L897" s="5">
        <f>_xlfn.RANK.EQ(J897,$J$2:$J$1001,0)</f>
        <v>103</v>
      </c>
    </row>
    <row r="898" spans="1:12" x14ac:dyDescent="0.3">
      <c r="A898" s="5" t="s">
        <v>8</v>
      </c>
      <c r="B898" s="5" t="s">
        <v>9</v>
      </c>
      <c r="C898" s="5" t="s">
        <v>19</v>
      </c>
      <c r="D898" s="5" t="s">
        <v>20</v>
      </c>
      <c r="E898" s="5" t="s">
        <v>15</v>
      </c>
      <c r="F898" s="5">
        <v>76</v>
      </c>
      <c r="G898" s="5">
        <v>94</v>
      </c>
      <c r="H898" s="6">
        <v>87</v>
      </c>
      <c r="I898" s="5">
        <f>SUM(F898:H898)</f>
        <v>257</v>
      </c>
      <c r="J898" s="7">
        <f>AVERAGE(F898:H898)</f>
        <v>85.666666666666671</v>
      </c>
      <c r="K898" s="8">
        <f>I898/300</f>
        <v>0.85666666666666669</v>
      </c>
      <c r="L898" s="5">
        <f>_xlfn.RANK.EQ(J898,$J$2:$J$1001,0)</f>
        <v>103</v>
      </c>
    </row>
    <row r="899" spans="1:12" x14ac:dyDescent="0.3">
      <c r="A899" s="5" t="s">
        <v>17</v>
      </c>
      <c r="B899" s="5" t="s">
        <v>9</v>
      </c>
      <c r="C899" s="5" t="s">
        <v>14</v>
      </c>
      <c r="D899" s="5" t="s">
        <v>11</v>
      </c>
      <c r="E899" s="5" t="s">
        <v>15</v>
      </c>
      <c r="F899" s="5">
        <v>87</v>
      </c>
      <c r="G899" s="5">
        <v>84</v>
      </c>
      <c r="H899" s="6">
        <v>86</v>
      </c>
      <c r="I899" s="5">
        <f>SUM(F899:H899)</f>
        <v>257</v>
      </c>
      <c r="J899" s="7">
        <f>AVERAGE(F899:H899)</f>
        <v>85.666666666666671</v>
      </c>
      <c r="K899" s="8">
        <f>I899/300</f>
        <v>0.85666666666666669</v>
      </c>
      <c r="L899" s="5">
        <f>_xlfn.RANK.EQ(J899,$J$2:$J$1001,0)</f>
        <v>103</v>
      </c>
    </row>
    <row r="900" spans="1:12" x14ac:dyDescent="0.3">
      <c r="A900" s="5" t="s">
        <v>8</v>
      </c>
      <c r="B900" s="5" t="s">
        <v>13</v>
      </c>
      <c r="C900" s="5" t="s">
        <v>14</v>
      </c>
      <c r="D900" s="5" t="s">
        <v>20</v>
      </c>
      <c r="E900" s="5" t="s">
        <v>12</v>
      </c>
      <c r="F900" s="5">
        <v>77</v>
      </c>
      <c r="G900" s="5">
        <v>90</v>
      </c>
      <c r="H900" s="6">
        <v>91</v>
      </c>
      <c r="I900" s="5">
        <f>SUM(F900:H900)</f>
        <v>258</v>
      </c>
      <c r="J900" s="7">
        <f>AVERAGE(F900:H900)</f>
        <v>86</v>
      </c>
      <c r="K900" s="8">
        <f>I900/300</f>
        <v>0.86</v>
      </c>
      <c r="L900" s="5">
        <f>_xlfn.RANK.EQ(J900,$J$2:$J$1001,0)</f>
        <v>99</v>
      </c>
    </row>
    <row r="901" spans="1:12" x14ac:dyDescent="0.3">
      <c r="A901" s="5" t="s">
        <v>8</v>
      </c>
      <c r="B901" s="5" t="s">
        <v>13</v>
      </c>
      <c r="C901" s="5" t="s">
        <v>19</v>
      </c>
      <c r="D901" s="5" t="s">
        <v>11</v>
      </c>
      <c r="E901" s="5" t="s">
        <v>15</v>
      </c>
      <c r="F901" s="5">
        <v>83</v>
      </c>
      <c r="G901" s="5">
        <v>85</v>
      </c>
      <c r="H901" s="6">
        <v>90</v>
      </c>
      <c r="I901" s="5">
        <f>SUM(F901:H901)</f>
        <v>258</v>
      </c>
      <c r="J901" s="7">
        <f>AVERAGE(F901:H901)</f>
        <v>86</v>
      </c>
      <c r="K901" s="8">
        <f>I901/300</f>
        <v>0.86</v>
      </c>
      <c r="L901" s="5">
        <f>_xlfn.RANK.EQ(J901,$J$2:$J$1001,0)</f>
        <v>99</v>
      </c>
    </row>
    <row r="902" spans="1:12" x14ac:dyDescent="0.3">
      <c r="A902" s="5" t="s">
        <v>17</v>
      </c>
      <c r="B902" s="5" t="s">
        <v>18</v>
      </c>
      <c r="C902" s="5" t="s">
        <v>10</v>
      </c>
      <c r="D902" s="5" t="s">
        <v>11</v>
      </c>
      <c r="E902" s="5" t="s">
        <v>15</v>
      </c>
      <c r="F902" s="5">
        <v>87</v>
      </c>
      <c r="G902" s="5">
        <v>84</v>
      </c>
      <c r="H902" s="6">
        <v>87</v>
      </c>
      <c r="I902" s="5">
        <f>SUM(F902:H902)</f>
        <v>258</v>
      </c>
      <c r="J902" s="7">
        <f>AVERAGE(F902:H902)</f>
        <v>86</v>
      </c>
      <c r="K902" s="8">
        <f>I902/300</f>
        <v>0.86</v>
      </c>
      <c r="L902" s="5">
        <f>_xlfn.RANK.EQ(J902,$J$2:$J$1001,0)</f>
        <v>99</v>
      </c>
    </row>
    <row r="903" spans="1:12" x14ac:dyDescent="0.3">
      <c r="A903" s="5" t="s">
        <v>17</v>
      </c>
      <c r="B903" s="5" t="s">
        <v>21</v>
      </c>
      <c r="C903" s="5" t="s">
        <v>16</v>
      </c>
      <c r="D903" s="5" t="s">
        <v>11</v>
      </c>
      <c r="E903" s="5" t="s">
        <v>12</v>
      </c>
      <c r="F903" s="5">
        <v>85</v>
      </c>
      <c r="G903" s="5">
        <v>84</v>
      </c>
      <c r="H903" s="6">
        <v>89</v>
      </c>
      <c r="I903" s="5">
        <f>SUM(F903:H903)</f>
        <v>258</v>
      </c>
      <c r="J903" s="7">
        <f>AVERAGE(F903:H903)</f>
        <v>86</v>
      </c>
      <c r="K903" s="8">
        <f>I903/300</f>
        <v>0.86</v>
      </c>
      <c r="L903" s="5">
        <f>_xlfn.RANK.EQ(J903,$J$2:$J$1001,0)</f>
        <v>99</v>
      </c>
    </row>
    <row r="904" spans="1:12" x14ac:dyDescent="0.3">
      <c r="A904" s="5" t="s">
        <v>8</v>
      </c>
      <c r="B904" s="5" t="s">
        <v>13</v>
      </c>
      <c r="C904" s="5" t="s">
        <v>16</v>
      </c>
      <c r="D904" s="5" t="s">
        <v>11</v>
      </c>
      <c r="E904" s="5" t="s">
        <v>15</v>
      </c>
      <c r="F904" s="5">
        <v>81</v>
      </c>
      <c r="G904" s="5">
        <v>91</v>
      </c>
      <c r="H904" s="6">
        <v>87</v>
      </c>
      <c r="I904" s="5">
        <f>SUM(F904:H904)</f>
        <v>259</v>
      </c>
      <c r="J904" s="7">
        <f>AVERAGE(F904:H904)</f>
        <v>86.333333333333329</v>
      </c>
      <c r="K904" s="8">
        <f>I904/300</f>
        <v>0.86333333333333329</v>
      </c>
      <c r="L904" s="5">
        <f>_xlfn.RANK.EQ(J904,$J$2:$J$1001,0)</f>
        <v>93</v>
      </c>
    </row>
    <row r="905" spans="1:12" x14ac:dyDescent="0.3">
      <c r="A905" s="5" t="s">
        <v>17</v>
      </c>
      <c r="B905" s="5" t="s">
        <v>24</v>
      </c>
      <c r="C905" s="5" t="s">
        <v>22</v>
      </c>
      <c r="D905" s="5" t="s">
        <v>11</v>
      </c>
      <c r="E905" s="5" t="s">
        <v>15</v>
      </c>
      <c r="F905" s="5">
        <v>87</v>
      </c>
      <c r="G905" s="5">
        <v>91</v>
      </c>
      <c r="H905" s="6">
        <v>81</v>
      </c>
      <c r="I905" s="5">
        <f>SUM(F905:H905)</f>
        <v>259</v>
      </c>
      <c r="J905" s="7">
        <f>AVERAGE(F905:H905)</f>
        <v>86.333333333333329</v>
      </c>
      <c r="K905" s="8">
        <f>I905/300</f>
        <v>0.86333333333333329</v>
      </c>
      <c r="L905" s="5">
        <f>_xlfn.RANK.EQ(J905,$J$2:$J$1001,0)</f>
        <v>93</v>
      </c>
    </row>
    <row r="906" spans="1:12" x14ac:dyDescent="0.3">
      <c r="A906" s="5" t="s">
        <v>8</v>
      </c>
      <c r="B906" s="5" t="s">
        <v>21</v>
      </c>
      <c r="C906" s="5" t="s">
        <v>14</v>
      </c>
      <c r="D906" s="5" t="s">
        <v>11</v>
      </c>
      <c r="E906" s="5" t="s">
        <v>12</v>
      </c>
      <c r="F906" s="5">
        <v>80</v>
      </c>
      <c r="G906" s="5">
        <v>90</v>
      </c>
      <c r="H906" s="6">
        <v>89</v>
      </c>
      <c r="I906" s="5">
        <f>SUM(F906:H906)</f>
        <v>259</v>
      </c>
      <c r="J906" s="7">
        <f>AVERAGE(F906:H906)</f>
        <v>86.333333333333329</v>
      </c>
      <c r="K906" s="8">
        <f>I906/300</f>
        <v>0.86333333333333329</v>
      </c>
      <c r="L906" s="5">
        <f>_xlfn.RANK.EQ(J906,$J$2:$J$1001,0)</f>
        <v>93</v>
      </c>
    </row>
    <row r="907" spans="1:12" x14ac:dyDescent="0.3">
      <c r="A907" s="5" t="s">
        <v>17</v>
      </c>
      <c r="B907" s="5" t="s">
        <v>21</v>
      </c>
      <c r="C907" s="5" t="s">
        <v>23</v>
      </c>
      <c r="D907" s="5" t="s">
        <v>11</v>
      </c>
      <c r="E907" s="5" t="s">
        <v>15</v>
      </c>
      <c r="F907" s="5">
        <v>89</v>
      </c>
      <c r="G907" s="5">
        <v>88</v>
      </c>
      <c r="H907" s="6">
        <v>82</v>
      </c>
      <c r="I907" s="5">
        <f>SUM(F907:H907)</f>
        <v>259</v>
      </c>
      <c r="J907" s="7">
        <f>AVERAGE(F907:H907)</f>
        <v>86.333333333333329</v>
      </c>
      <c r="K907" s="8">
        <f>I907/300</f>
        <v>0.86333333333333329</v>
      </c>
      <c r="L907" s="5">
        <f>_xlfn.RANK.EQ(J907,$J$2:$J$1001,0)</f>
        <v>93</v>
      </c>
    </row>
    <row r="908" spans="1:12" x14ac:dyDescent="0.3">
      <c r="A908" s="5" t="s">
        <v>8</v>
      </c>
      <c r="B908" s="5" t="s">
        <v>13</v>
      </c>
      <c r="C908" s="5" t="s">
        <v>10</v>
      </c>
      <c r="D908" s="5" t="s">
        <v>11</v>
      </c>
      <c r="E908" s="5" t="s">
        <v>12</v>
      </c>
      <c r="F908" s="5">
        <v>81</v>
      </c>
      <c r="G908" s="5">
        <v>88</v>
      </c>
      <c r="H908" s="6">
        <v>90</v>
      </c>
      <c r="I908" s="5">
        <f>SUM(F908:H908)</f>
        <v>259</v>
      </c>
      <c r="J908" s="7">
        <f>AVERAGE(F908:H908)</f>
        <v>86.333333333333329</v>
      </c>
      <c r="K908" s="8">
        <f>I908/300</f>
        <v>0.86333333333333329</v>
      </c>
      <c r="L908" s="5">
        <f>_xlfn.RANK.EQ(J908,$J$2:$J$1001,0)</f>
        <v>93</v>
      </c>
    </row>
    <row r="909" spans="1:12" x14ac:dyDescent="0.3">
      <c r="A909" s="5" t="s">
        <v>17</v>
      </c>
      <c r="B909" s="5" t="s">
        <v>24</v>
      </c>
      <c r="C909" s="5" t="s">
        <v>16</v>
      </c>
      <c r="D909" s="5" t="s">
        <v>11</v>
      </c>
      <c r="E909" s="5" t="s">
        <v>12</v>
      </c>
      <c r="F909" s="5">
        <v>90</v>
      </c>
      <c r="G909" s="5">
        <v>85</v>
      </c>
      <c r="H909" s="6">
        <v>84</v>
      </c>
      <c r="I909" s="5">
        <f>SUM(F909:H909)</f>
        <v>259</v>
      </c>
      <c r="J909" s="7">
        <f>AVERAGE(F909:H909)</f>
        <v>86.333333333333329</v>
      </c>
      <c r="K909" s="8">
        <f>I909/300</f>
        <v>0.86333333333333329</v>
      </c>
      <c r="L909" s="5">
        <f>_xlfn.RANK.EQ(J909,$J$2:$J$1001,0)</f>
        <v>93</v>
      </c>
    </row>
    <row r="910" spans="1:12" x14ac:dyDescent="0.3">
      <c r="A910" s="5" t="s">
        <v>8</v>
      </c>
      <c r="B910" s="5" t="s">
        <v>13</v>
      </c>
      <c r="C910" s="5" t="s">
        <v>10</v>
      </c>
      <c r="D910" s="5" t="s">
        <v>11</v>
      </c>
      <c r="E910" s="5" t="s">
        <v>15</v>
      </c>
      <c r="F910" s="5">
        <v>79</v>
      </c>
      <c r="G910" s="5">
        <v>92</v>
      </c>
      <c r="H910" s="6">
        <v>89</v>
      </c>
      <c r="I910" s="5">
        <f>SUM(F910:H910)</f>
        <v>260</v>
      </c>
      <c r="J910" s="7">
        <f>AVERAGE(F910:H910)</f>
        <v>86.666666666666671</v>
      </c>
      <c r="K910" s="8">
        <f>I910/300</f>
        <v>0.8666666666666667</v>
      </c>
      <c r="L910" s="5">
        <f>_xlfn.RANK.EQ(J910,$J$2:$J$1001,0)</f>
        <v>89</v>
      </c>
    </row>
    <row r="911" spans="1:12" x14ac:dyDescent="0.3">
      <c r="A911" s="5" t="s">
        <v>17</v>
      </c>
      <c r="B911" s="5" t="s">
        <v>24</v>
      </c>
      <c r="C911" s="5" t="s">
        <v>23</v>
      </c>
      <c r="D911" s="5" t="s">
        <v>11</v>
      </c>
      <c r="E911" s="5" t="s">
        <v>12</v>
      </c>
      <c r="F911" s="5">
        <v>94</v>
      </c>
      <c r="G911" s="5">
        <v>88</v>
      </c>
      <c r="H911" s="6">
        <v>78</v>
      </c>
      <c r="I911" s="5">
        <f>SUM(F911:H911)</f>
        <v>260</v>
      </c>
      <c r="J911" s="7">
        <f>AVERAGE(F911:H911)</f>
        <v>86.666666666666671</v>
      </c>
      <c r="K911" s="8">
        <f>I911/300</f>
        <v>0.8666666666666667</v>
      </c>
      <c r="L911" s="5">
        <f>_xlfn.RANK.EQ(J911,$J$2:$J$1001,0)</f>
        <v>89</v>
      </c>
    </row>
    <row r="912" spans="1:12" x14ac:dyDescent="0.3">
      <c r="A912" s="5" t="s">
        <v>17</v>
      </c>
      <c r="B912" s="5" t="s">
        <v>21</v>
      </c>
      <c r="C912" s="5" t="s">
        <v>16</v>
      </c>
      <c r="D912" s="5" t="s">
        <v>11</v>
      </c>
      <c r="E912" s="5" t="s">
        <v>12</v>
      </c>
      <c r="F912" s="5">
        <v>95</v>
      </c>
      <c r="G912" s="5">
        <v>81</v>
      </c>
      <c r="H912" s="6">
        <v>84</v>
      </c>
      <c r="I912" s="5">
        <f>SUM(F912:H912)</f>
        <v>260</v>
      </c>
      <c r="J912" s="7">
        <f>AVERAGE(F912:H912)</f>
        <v>86.666666666666671</v>
      </c>
      <c r="K912" s="8">
        <f>I912/300</f>
        <v>0.8666666666666667</v>
      </c>
      <c r="L912" s="5">
        <f>_xlfn.RANK.EQ(J912,$J$2:$J$1001,0)</f>
        <v>89</v>
      </c>
    </row>
    <row r="913" spans="1:12" x14ac:dyDescent="0.3">
      <c r="A913" s="5" t="s">
        <v>8</v>
      </c>
      <c r="B913" s="5" t="s">
        <v>21</v>
      </c>
      <c r="C913" s="5" t="s">
        <v>23</v>
      </c>
      <c r="D913" s="5" t="s">
        <v>11</v>
      </c>
      <c r="E913" s="5" t="s">
        <v>15</v>
      </c>
      <c r="F913" s="5">
        <v>80</v>
      </c>
      <c r="G913" s="5">
        <v>92</v>
      </c>
      <c r="H913" s="6">
        <v>88</v>
      </c>
      <c r="I913" s="5">
        <f>SUM(F913:H913)</f>
        <v>260</v>
      </c>
      <c r="J913" s="7">
        <f>AVERAGE(F913:H913)</f>
        <v>86.666666666666671</v>
      </c>
      <c r="K913" s="8">
        <f>I913/300</f>
        <v>0.8666666666666667</v>
      </c>
      <c r="L913" s="5">
        <f>_xlfn.RANK.EQ(J913,$J$2:$J$1001,0)</f>
        <v>89</v>
      </c>
    </row>
    <row r="914" spans="1:12" x14ac:dyDescent="0.3">
      <c r="A914" s="5" t="s">
        <v>8</v>
      </c>
      <c r="B914" s="5" t="s">
        <v>13</v>
      </c>
      <c r="C914" s="5" t="s">
        <v>19</v>
      </c>
      <c r="D914" s="5" t="s">
        <v>11</v>
      </c>
      <c r="E914" s="5" t="s">
        <v>12</v>
      </c>
      <c r="F914" s="5">
        <v>91</v>
      </c>
      <c r="G914" s="5">
        <v>86</v>
      </c>
      <c r="H914" s="6">
        <v>84</v>
      </c>
      <c r="I914" s="5">
        <f>SUM(F914:H914)</f>
        <v>261</v>
      </c>
      <c r="J914" s="7">
        <f>AVERAGE(F914:H914)</f>
        <v>87</v>
      </c>
      <c r="K914" s="8">
        <f>I914/300</f>
        <v>0.87</v>
      </c>
      <c r="L914" s="5">
        <f>_xlfn.RANK.EQ(J914,$J$2:$J$1001,0)</f>
        <v>83</v>
      </c>
    </row>
    <row r="915" spans="1:12" x14ac:dyDescent="0.3">
      <c r="A915" s="5" t="s">
        <v>8</v>
      </c>
      <c r="B915" s="5" t="s">
        <v>24</v>
      </c>
      <c r="C915" s="5" t="s">
        <v>19</v>
      </c>
      <c r="D915" s="5" t="s">
        <v>11</v>
      </c>
      <c r="E915" s="5" t="s">
        <v>15</v>
      </c>
      <c r="F915" s="5">
        <v>79</v>
      </c>
      <c r="G915" s="5">
        <v>88</v>
      </c>
      <c r="H915" s="6">
        <v>94</v>
      </c>
      <c r="I915" s="5">
        <f>SUM(F915:H915)</f>
        <v>261</v>
      </c>
      <c r="J915" s="7">
        <f>AVERAGE(F915:H915)</f>
        <v>87</v>
      </c>
      <c r="K915" s="8">
        <f>I915/300</f>
        <v>0.87</v>
      </c>
      <c r="L915" s="5">
        <f>_xlfn.RANK.EQ(J915,$J$2:$J$1001,0)</f>
        <v>83</v>
      </c>
    </row>
    <row r="916" spans="1:12" x14ac:dyDescent="0.3">
      <c r="A916" s="5" t="s">
        <v>8</v>
      </c>
      <c r="B916" s="5" t="s">
        <v>9</v>
      </c>
      <c r="C916" s="5" t="s">
        <v>22</v>
      </c>
      <c r="D916" s="5" t="s">
        <v>11</v>
      </c>
      <c r="E916" s="5" t="s">
        <v>12</v>
      </c>
      <c r="F916" s="5">
        <v>81</v>
      </c>
      <c r="G916" s="5">
        <v>91</v>
      </c>
      <c r="H916" s="6">
        <v>89</v>
      </c>
      <c r="I916" s="5">
        <f>SUM(F916:H916)</f>
        <v>261</v>
      </c>
      <c r="J916" s="7">
        <f>AVERAGE(F916:H916)</f>
        <v>87</v>
      </c>
      <c r="K916" s="8">
        <f>I916/300</f>
        <v>0.87</v>
      </c>
      <c r="L916" s="5">
        <f>_xlfn.RANK.EQ(J916,$J$2:$J$1001,0)</f>
        <v>83</v>
      </c>
    </row>
    <row r="917" spans="1:12" x14ac:dyDescent="0.3">
      <c r="A917" s="5" t="s">
        <v>17</v>
      </c>
      <c r="B917" s="5" t="s">
        <v>24</v>
      </c>
      <c r="C917" s="5" t="s">
        <v>19</v>
      </c>
      <c r="D917" s="5" t="s">
        <v>11</v>
      </c>
      <c r="E917" s="5" t="s">
        <v>15</v>
      </c>
      <c r="F917" s="5">
        <v>94</v>
      </c>
      <c r="G917" s="5">
        <v>85</v>
      </c>
      <c r="H917" s="6">
        <v>82</v>
      </c>
      <c r="I917" s="5">
        <f>SUM(F917:H917)</f>
        <v>261</v>
      </c>
      <c r="J917" s="7">
        <f>AVERAGE(F917:H917)</f>
        <v>87</v>
      </c>
      <c r="K917" s="8">
        <f>I917/300</f>
        <v>0.87</v>
      </c>
      <c r="L917" s="5">
        <f>_xlfn.RANK.EQ(J917,$J$2:$J$1001,0)</f>
        <v>83</v>
      </c>
    </row>
    <row r="918" spans="1:12" x14ac:dyDescent="0.3">
      <c r="A918" s="5" t="s">
        <v>8</v>
      </c>
      <c r="B918" s="5" t="s">
        <v>21</v>
      </c>
      <c r="C918" s="5" t="s">
        <v>10</v>
      </c>
      <c r="D918" s="5" t="s">
        <v>20</v>
      </c>
      <c r="E918" s="5" t="s">
        <v>12</v>
      </c>
      <c r="F918" s="5">
        <v>78</v>
      </c>
      <c r="G918" s="5">
        <v>90</v>
      </c>
      <c r="H918" s="6">
        <v>93</v>
      </c>
      <c r="I918" s="5">
        <f>SUM(F918:H918)</f>
        <v>261</v>
      </c>
      <c r="J918" s="7">
        <f>AVERAGE(F918:H918)</f>
        <v>87</v>
      </c>
      <c r="K918" s="8">
        <f>I918/300</f>
        <v>0.87</v>
      </c>
      <c r="L918" s="5">
        <f>_xlfn.RANK.EQ(J918,$J$2:$J$1001,0)</f>
        <v>83</v>
      </c>
    </row>
    <row r="919" spans="1:12" x14ac:dyDescent="0.3">
      <c r="A919" s="5" t="s">
        <v>17</v>
      </c>
      <c r="B919" s="5" t="s">
        <v>13</v>
      </c>
      <c r="C919" s="5" t="s">
        <v>16</v>
      </c>
      <c r="D919" s="5" t="s">
        <v>11</v>
      </c>
      <c r="E919" s="5" t="s">
        <v>15</v>
      </c>
      <c r="F919" s="5">
        <v>91</v>
      </c>
      <c r="G919" s="5">
        <v>85</v>
      </c>
      <c r="H919" s="6">
        <v>85</v>
      </c>
      <c r="I919" s="5">
        <f>SUM(F919:H919)</f>
        <v>261</v>
      </c>
      <c r="J919" s="7">
        <f>AVERAGE(F919:H919)</f>
        <v>87</v>
      </c>
      <c r="K919" s="8">
        <f>I919/300</f>
        <v>0.87</v>
      </c>
      <c r="L919" s="5">
        <f>_xlfn.RANK.EQ(J919,$J$2:$J$1001,0)</f>
        <v>83</v>
      </c>
    </row>
    <row r="920" spans="1:12" x14ac:dyDescent="0.3">
      <c r="A920" s="5" t="s">
        <v>8</v>
      </c>
      <c r="B920" s="5" t="s">
        <v>13</v>
      </c>
      <c r="C920" s="5" t="s">
        <v>14</v>
      </c>
      <c r="D920" s="5" t="s">
        <v>11</v>
      </c>
      <c r="E920" s="5" t="s">
        <v>12</v>
      </c>
      <c r="F920" s="5">
        <v>84</v>
      </c>
      <c r="G920" s="5">
        <v>87</v>
      </c>
      <c r="H920" s="6">
        <v>91</v>
      </c>
      <c r="I920" s="5">
        <f>SUM(F920:H920)</f>
        <v>262</v>
      </c>
      <c r="J920" s="7">
        <f>AVERAGE(F920:H920)</f>
        <v>87.333333333333329</v>
      </c>
      <c r="K920" s="8">
        <f>I920/300</f>
        <v>0.87333333333333329</v>
      </c>
      <c r="L920" s="5">
        <f>_xlfn.RANK.EQ(J920,$J$2:$J$1001,0)</f>
        <v>78</v>
      </c>
    </row>
    <row r="921" spans="1:12" x14ac:dyDescent="0.3">
      <c r="A921" s="5" t="s">
        <v>17</v>
      </c>
      <c r="B921" s="5" t="s">
        <v>21</v>
      </c>
      <c r="C921" s="5" t="s">
        <v>19</v>
      </c>
      <c r="D921" s="5" t="s">
        <v>11</v>
      </c>
      <c r="E921" s="5" t="s">
        <v>12</v>
      </c>
      <c r="F921" s="5">
        <v>90</v>
      </c>
      <c r="G921" s="5">
        <v>87</v>
      </c>
      <c r="H921" s="6">
        <v>85</v>
      </c>
      <c r="I921" s="5">
        <f>SUM(F921:H921)</f>
        <v>262</v>
      </c>
      <c r="J921" s="7">
        <f>AVERAGE(F921:H921)</f>
        <v>87.333333333333329</v>
      </c>
      <c r="K921" s="8">
        <f>I921/300</f>
        <v>0.87333333333333329</v>
      </c>
      <c r="L921" s="5">
        <f>_xlfn.RANK.EQ(J921,$J$2:$J$1001,0)</f>
        <v>78</v>
      </c>
    </row>
    <row r="922" spans="1:12" x14ac:dyDescent="0.3">
      <c r="A922" s="5" t="s">
        <v>17</v>
      </c>
      <c r="B922" s="5" t="s">
        <v>24</v>
      </c>
      <c r="C922" s="5" t="s">
        <v>19</v>
      </c>
      <c r="D922" s="5" t="s">
        <v>20</v>
      </c>
      <c r="E922" s="5" t="s">
        <v>12</v>
      </c>
      <c r="F922" s="5">
        <v>90</v>
      </c>
      <c r="G922" s="5">
        <v>90</v>
      </c>
      <c r="H922" s="6">
        <v>82</v>
      </c>
      <c r="I922" s="5">
        <f>SUM(F922:H922)</f>
        <v>262</v>
      </c>
      <c r="J922" s="7">
        <f>AVERAGE(F922:H922)</f>
        <v>87.333333333333329</v>
      </c>
      <c r="K922" s="8">
        <f>I922/300</f>
        <v>0.87333333333333329</v>
      </c>
      <c r="L922" s="5">
        <f>_xlfn.RANK.EQ(J922,$J$2:$J$1001,0)</f>
        <v>78</v>
      </c>
    </row>
    <row r="923" spans="1:12" x14ac:dyDescent="0.3">
      <c r="A923" s="5" t="s">
        <v>8</v>
      </c>
      <c r="B923" s="5" t="s">
        <v>24</v>
      </c>
      <c r="C923" s="5" t="s">
        <v>14</v>
      </c>
      <c r="D923" s="5" t="s">
        <v>11</v>
      </c>
      <c r="E923" s="5" t="s">
        <v>15</v>
      </c>
      <c r="F923" s="5">
        <v>86</v>
      </c>
      <c r="G923" s="5">
        <v>85</v>
      </c>
      <c r="H923" s="6">
        <v>91</v>
      </c>
      <c r="I923" s="5">
        <f>SUM(F923:H923)</f>
        <v>262</v>
      </c>
      <c r="J923" s="7">
        <f>AVERAGE(F923:H923)</f>
        <v>87.333333333333329</v>
      </c>
      <c r="K923" s="8">
        <f>I923/300</f>
        <v>0.87333333333333329</v>
      </c>
      <c r="L923" s="5">
        <f>_xlfn.RANK.EQ(J923,$J$2:$J$1001,0)</f>
        <v>78</v>
      </c>
    </row>
    <row r="924" spans="1:12" x14ac:dyDescent="0.3">
      <c r="A924" s="5" t="s">
        <v>8</v>
      </c>
      <c r="B924" s="5" t="s">
        <v>24</v>
      </c>
      <c r="C924" s="5" t="s">
        <v>19</v>
      </c>
      <c r="D924" s="5" t="s">
        <v>11</v>
      </c>
      <c r="E924" s="5" t="s">
        <v>12</v>
      </c>
      <c r="F924" s="5">
        <v>85</v>
      </c>
      <c r="G924" s="5">
        <v>92</v>
      </c>
      <c r="H924" s="6">
        <v>85</v>
      </c>
      <c r="I924" s="5">
        <f>SUM(F924:H924)</f>
        <v>262</v>
      </c>
      <c r="J924" s="7">
        <f>AVERAGE(F924:H924)</f>
        <v>87.333333333333329</v>
      </c>
      <c r="K924" s="8">
        <f>I924/300</f>
        <v>0.87333333333333329</v>
      </c>
      <c r="L924" s="5">
        <f>_xlfn.RANK.EQ(J924,$J$2:$J$1001,0)</f>
        <v>78</v>
      </c>
    </row>
    <row r="925" spans="1:12" x14ac:dyDescent="0.3">
      <c r="A925" s="5" t="s">
        <v>17</v>
      </c>
      <c r="B925" s="5" t="s">
        <v>13</v>
      </c>
      <c r="C925" s="5" t="s">
        <v>22</v>
      </c>
      <c r="D925" s="5" t="s">
        <v>11</v>
      </c>
      <c r="E925" s="5" t="s">
        <v>12</v>
      </c>
      <c r="F925" s="5">
        <v>88</v>
      </c>
      <c r="G925" s="5">
        <v>89</v>
      </c>
      <c r="H925" s="6">
        <v>86</v>
      </c>
      <c r="I925" s="5">
        <f>SUM(F925:H925)</f>
        <v>263</v>
      </c>
      <c r="J925" s="7">
        <f>AVERAGE(F925:H925)</f>
        <v>87.666666666666671</v>
      </c>
      <c r="K925" s="8">
        <f>I925/300</f>
        <v>0.87666666666666671</v>
      </c>
      <c r="L925" s="5">
        <f>_xlfn.RANK.EQ(J925,$J$2:$J$1001,0)</f>
        <v>76</v>
      </c>
    </row>
    <row r="926" spans="1:12" x14ac:dyDescent="0.3">
      <c r="A926" s="5" t="s">
        <v>17</v>
      </c>
      <c r="B926" s="5" t="s">
        <v>21</v>
      </c>
      <c r="C926" s="5" t="s">
        <v>16</v>
      </c>
      <c r="D926" s="5" t="s">
        <v>20</v>
      </c>
      <c r="E926" s="5" t="s">
        <v>15</v>
      </c>
      <c r="F926" s="5">
        <v>84</v>
      </c>
      <c r="G926" s="5">
        <v>89</v>
      </c>
      <c r="H926" s="6">
        <v>90</v>
      </c>
      <c r="I926" s="5">
        <f>SUM(F926:H926)</f>
        <v>263</v>
      </c>
      <c r="J926" s="7">
        <f>AVERAGE(F926:H926)</f>
        <v>87.666666666666671</v>
      </c>
      <c r="K926" s="8">
        <f>I926/300</f>
        <v>0.87666666666666671</v>
      </c>
      <c r="L926" s="5">
        <f>_xlfn.RANK.EQ(J926,$J$2:$J$1001,0)</f>
        <v>76</v>
      </c>
    </row>
    <row r="927" spans="1:12" x14ac:dyDescent="0.3">
      <c r="A927" s="5" t="s">
        <v>8</v>
      </c>
      <c r="B927" s="5" t="s">
        <v>21</v>
      </c>
      <c r="C927" s="5" t="s">
        <v>19</v>
      </c>
      <c r="D927" s="5" t="s">
        <v>20</v>
      </c>
      <c r="E927" s="5" t="s">
        <v>15</v>
      </c>
      <c r="F927" s="5">
        <v>77</v>
      </c>
      <c r="G927" s="5">
        <v>89</v>
      </c>
      <c r="H927" s="6">
        <v>98</v>
      </c>
      <c r="I927" s="5">
        <f>SUM(F927:H927)</f>
        <v>264</v>
      </c>
      <c r="J927" s="7">
        <f>AVERAGE(F927:H927)</f>
        <v>88</v>
      </c>
      <c r="K927" s="8">
        <f>I927/300</f>
        <v>0.88</v>
      </c>
      <c r="L927" s="5">
        <f>_xlfn.RANK.EQ(J927,$J$2:$J$1001,0)</f>
        <v>74</v>
      </c>
    </row>
    <row r="928" spans="1:12" x14ac:dyDescent="0.3">
      <c r="A928" s="5" t="s">
        <v>8</v>
      </c>
      <c r="B928" s="5" t="s">
        <v>24</v>
      </c>
      <c r="C928" s="5" t="s">
        <v>16</v>
      </c>
      <c r="D928" s="5" t="s">
        <v>11</v>
      </c>
      <c r="E928" s="5" t="s">
        <v>12</v>
      </c>
      <c r="F928" s="5">
        <v>81</v>
      </c>
      <c r="G928" s="5">
        <v>92</v>
      </c>
      <c r="H928" s="6">
        <v>91</v>
      </c>
      <c r="I928" s="5">
        <f>SUM(F928:H928)</f>
        <v>264</v>
      </c>
      <c r="J928" s="7">
        <f>AVERAGE(F928:H928)</f>
        <v>88</v>
      </c>
      <c r="K928" s="8">
        <f>I928/300</f>
        <v>0.88</v>
      </c>
      <c r="L928" s="5">
        <f>_xlfn.RANK.EQ(J928,$J$2:$J$1001,0)</f>
        <v>74</v>
      </c>
    </row>
    <row r="929" spans="1:12" x14ac:dyDescent="0.3">
      <c r="A929" s="5" t="s">
        <v>8</v>
      </c>
      <c r="B929" s="5" t="s">
        <v>21</v>
      </c>
      <c r="C929" s="5" t="s">
        <v>19</v>
      </c>
      <c r="D929" s="5" t="s">
        <v>11</v>
      </c>
      <c r="E929" s="5" t="s">
        <v>12</v>
      </c>
      <c r="F929" s="5">
        <v>85</v>
      </c>
      <c r="G929" s="5">
        <v>91</v>
      </c>
      <c r="H929" s="6">
        <v>89</v>
      </c>
      <c r="I929" s="5">
        <f>SUM(F929:H929)</f>
        <v>265</v>
      </c>
      <c r="J929" s="7">
        <f>AVERAGE(F929:H929)</f>
        <v>88.333333333333329</v>
      </c>
      <c r="K929" s="8">
        <f>I929/300</f>
        <v>0.8833333333333333</v>
      </c>
      <c r="L929" s="5">
        <f>_xlfn.RANK.EQ(J929,$J$2:$J$1001,0)</f>
        <v>69</v>
      </c>
    </row>
    <row r="930" spans="1:12" x14ac:dyDescent="0.3">
      <c r="A930" s="5" t="s">
        <v>8</v>
      </c>
      <c r="B930" s="5" t="s">
        <v>13</v>
      </c>
      <c r="C930" s="5" t="s">
        <v>10</v>
      </c>
      <c r="D930" s="5" t="s">
        <v>11</v>
      </c>
      <c r="E930" s="5" t="s">
        <v>12</v>
      </c>
      <c r="F930" s="5">
        <v>86</v>
      </c>
      <c r="G930" s="5">
        <v>92</v>
      </c>
      <c r="H930" s="6">
        <v>87</v>
      </c>
      <c r="I930" s="5">
        <f>SUM(F930:H930)</f>
        <v>265</v>
      </c>
      <c r="J930" s="7">
        <f>AVERAGE(F930:H930)</f>
        <v>88.333333333333329</v>
      </c>
      <c r="K930" s="8">
        <f>I930/300</f>
        <v>0.8833333333333333</v>
      </c>
      <c r="L930" s="5">
        <f>_xlfn.RANK.EQ(J930,$J$2:$J$1001,0)</f>
        <v>69</v>
      </c>
    </row>
    <row r="931" spans="1:12" x14ac:dyDescent="0.3">
      <c r="A931" s="5" t="s">
        <v>17</v>
      </c>
      <c r="B931" s="5" t="s">
        <v>9</v>
      </c>
      <c r="C931" s="5" t="s">
        <v>10</v>
      </c>
      <c r="D931" s="5" t="s">
        <v>20</v>
      </c>
      <c r="E931" s="5" t="s">
        <v>15</v>
      </c>
      <c r="F931" s="5">
        <v>87</v>
      </c>
      <c r="G931" s="5">
        <v>90</v>
      </c>
      <c r="H931" s="6">
        <v>88</v>
      </c>
      <c r="I931" s="5">
        <f>SUM(F931:H931)</f>
        <v>265</v>
      </c>
      <c r="J931" s="7">
        <f>AVERAGE(F931:H931)</f>
        <v>88.333333333333329</v>
      </c>
      <c r="K931" s="8">
        <f>I931/300</f>
        <v>0.8833333333333333</v>
      </c>
      <c r="L931" s="5">
        <f>_xlfn.RANK.EQ(J931,$J$2:$J$1001,0)</f>
        <v>69</v>
      </c>
    </row>
    <row r="932" spans="1:12" x14ac:dyDescent="0.3">
      <c r="A932" s="5" t="s">
        <v>8</v>
      </c>
      <c r="B932" s="5" t="s">
        <v>24</v>
      </c>
      <c r="C932" s="5" t="s">
        <v>14</v>
      </c>
      <c r="D932" s="5" t="s">
        <v>11</v>
      </c>
      <c r="E932" s="5" t="s">
        <v>12</v>
      </c>
      <c r="F932" s="5">
        <v>87</v>
      </c>
      <c r="G932" s="5">
        <v>85</v>
      </c>
      <c r="H932" s="6">
        <v>93</v>
      </c>
      <c r="I932" s="5">
        <f>SUM(F932:H932)</f>
        <v>265</v>
      </c>
      <c r="J932" s="7">
        <f>AVERAGE(F932:H932)</f>
        <v>88.333333333333329</v>
      </c>
      <c r="K932" s="8">
        <f>I932/300</f>
        <v>0.8833333333333333</v>
      </c>
      <c r="L932" s="5">
        <f>_xlfn.RANK.EQ(J932,$J$2:$J$1001,0)</f>
        <v>69</v>
      </c>
    </row>
    <row r="933" spans="1:12" x14ac:dyDescent="0.3">
      <c r="A933" s="5" t="s">
        <v>8</v>
      </c>
      <c r="B933" s="5" t="s">
        <v>21</v>
      </c>
      <c r="C933" s="5" t="s">
        <v>16</v>
      </c>
      <c r="D933" s="5" t="s">
        <v>11</v>
      </c>
      <c r="E933" s="5" t="s">
        <v>12</v>
      </c>
      <c r="F933" s="5">
        <v>78</v>
      </c>
      <c r="G933" s="5">
        <v>91</v>
      </c>
      <c r="H933" s="6">
        <v>96</v>
      </c>
      <c r="I933" s="5">
        <f>SUM(F933:H933)</f>
        <v>265</v>
      </c>
      <c r="J933" s="7">
        <f>AVERAGE(F933:H933)</f>
        <v>88.333333333333329</v>
      </c>
      <c r="K933" s="8">
        <f>I933/300</f>
        <v>0.8833333333333333</v>
      </c>
      <c r="L933" s="5">
        <f>_xlfn.RANK.EQ(J933,$J$2:$J$1001,0)</f>
        <v>69</v>
      </c>
    </row>
    <row r="934" spans="1:12" x14ac:dyDescent="0.3">
      <c r="A934" s="5" t="s">
        <v>17</v>
      </c>
      <c r="B934" s="5" t="s">
        <v>24</v>
      </c>
      <c r="C934" s="5" t="s">
        <v>14</v>
      </c>
      <c r="D934" s="5" t="s">
        <v>11</v>
      </c>
      <c r="E934" s="5" t="s">
        <v>12</v>
      </c>
      <c r="F934" s="5">
        <v>97</v>
      </c>
      <c r="G934" s="5">
        <v>87</v>
      </c>
      <c r="H934" s="6">
        <v>82</v>
      </c>
      <c r="I934" s="5">
        <f>SUM(F934:H934)</f>
        <v>266</v>
      </c>
      <c r="J934" s="7">
        <f>AVERAGE(F934:H934)</f>
        <v>88.666666666666671</v>
      </c>
      <c r="K934" s="8">
        <f>I934/300</f>
        <v>0.88666666666666671</v>
      </c>
      <c r="L934" s="5">
        <f>_xlfn.RANK.EQ(J934,$J$2:$J$1001,0)</f>
        <v>64</v>
      </c>
    </row>
    <row r="935" spans="1:12" x14ac:dyDescent="0.3">
      <c r="A935" s="5" t="s">
        <v>8</v>
      </c>
      <c r="B935" s="5" t="s">
        <v>13</v>
      </c>
      <c r="C935" s="5" t="s">
        <v>14</v>
      </c>
      <c r="D935" s="5" t="s">
        <v>11</v>
      </c>
      <c r="E935" s="5" t="s">
        <v>12</v>
      </c>
      <c r="F935" s="5">
        <v>82</v>
      </c>
      <c r="G935" s="5">
        <v>90</v>
      </c>
      <c r="H935" s="6">
        <v>94</v>
      </c>
      <c r="I935" s="5">
        <f>SUM(F935:H935)</f>
        <v>266</v>
      </c>
      <c r="J935" s="7">
        <f>AVERAGE(F935:H935)</f>
        <v>88.666666666666671</v>
      </c>
      <c r="K935" s="8">
        <f>I935/300</f>
        <v>0.88666666666666671</v>
      </c>
      <c r="L935" s="5">
        <f>_xlfn.RANK.EQ(J935,$J$2:$J$1001,0)</f>
        <v>64</v>
      </c>
    </row>
    <row r="936" spans="1:12" x14ac:dyDescent="0.3">
      <c r="A936" s="5" t="s">
        <v>8</v>
      </c>
      <c r="B936" s="5" t="s">
        <v>13</v>
      </c>
      <c r="C936" s="5" t="s">
        <v>10</v>
      </c>
      <c r="D936" s="5" t="s">
        <v>11</v>
      </c>
      <c r="E936" s="5" t="s">
        <v>15</v>
      </c>
      <c r="F936" s="5">
        <v>77</v>
      </c>
      <c r="G936" s="5">
        <v>94</v>
      </c>
      <c r="H936" s="6">
        <v>95</v>
      </c>
      <c r="I936" s="5">
        <f>SUM(F936:H936)</f>
        <v>266</v>
      </c>
      <c r="J936" s="7">
        <f>AVERAGE(F936:H936)</f>
        <v>88.666666666666671</v>
      </c>
      <c r="K936" s="8">
        <f>I936/300</f>
        <v>0.88666666666666671</v>
      </c>
      <c r="L936" s="5">
        <f>_xlfn.RANK.EQ(J936,$J$2:$J$1001,0)</f>
        <v>64</v>
      </c>
    </row>
    <row r="937" spans="1:12" x14ac:dyDescent="0.3">
      <c r="A937" s="5" t="s">
        <v>8</v>
      </c>
      <c r="B937" s="5" t="s">
        <v>21</v>
      </c>
      <c r="C937" s="5" t="s">
        <v>19</v>
      </c>
      <c r="D937" s="5" t="s">
        <v>11</v>
      </c>
      <c r="E937" s="5" t="s">
        <v>12</v>
      </c>
      <c r="F937" s="5">
        <v>82</v>
      </c>
      <c r="G937" s="5">
        <v>95</v>
      </c>
      <c r="H937" s="6">
        <v>89</v>
      </c>
      <c r="I937" s="5">
        <f>SUM(F937:H937)</f>
        <v>266</v>
      </c>
      <c r="J937" s="7">
        <f>AVERAGE(F937:H937)</f>
        <v>88.666666666666671</v>
      </c>
      <c r="K937" s="8">
        <f>I937/300</f>
        <v>0.88666666666666671</v>
      </c>
      <c r="L937" s="5">
        <f>_xlfn.RANK.EQ(J937,$J$2:$J$1001,0)</f>
        <v>64</v>
      </c>
    </row>
    <row r="938" spans="1:12" x14ac:dyDescent="0.3">
      <c r="A938" s="5" t="s">
        <v>17</v>
      </c>
      <c r="B938" s="5" t="s">
        <v>24</v>
      </c>
      <c r="C938" s="5" t="s">
        <v>14</v>
      </c>
      <c r="D938" s="5" t="s">
        <v>20</v>
      </c>
      <c r="E938" s="5" t="s">
        <v>12</v>
      </c>
      <c r="F938" s="5">
        <v>93</v>
      </c>
      <c r="G938" s="5">
        <v>90</v>
      </c>
      <c r="H938" s="6">
        <v>83</v>
      </c>
      <c r="I938" s="5">
        <f>SUM(F938:H938)</f>
        <v>266</v>
      </c>
      <c r="J938" s="7">
        <f>AVERAGE(F938:H938)</f>
        <v>88.666666666666671</v>
      </c>
      <c r="K938" s="8">
        <f>I938/300</f>
        <v>0.88666666666666671</v>
      </c>
      <c r="L938" s="5">
        <f>_xlfn.RANK.EQ(J938,$J$2:$J$1001,0)</f>
        <v>64</v>
      </c>
    </row>
    <row r="939" spans="1:12" x14ac:dyDescent="0.3">
      <c r="A939" s="5" t="s">
        <v>17</v>
      </c>
      <c r="B939" s="5" t="s">
        <v>24</v>
      </c>
      <c r="C939" s="5" t="s">
        <v>19</v>
      </c>
      <c r="D939" s="5" t="s">
        <v>11</v>
      </c>
      <c r="E939" s="5" t="s">
        <v>15</v>
      </c>
      <c r="F939" s="5">
        <v>97</v>
      </c>
      <c r="G939" s="5">
        <v>82</v>
      </c>
      <c r="H939" s="6">
        <v>88</v>
      </c>
      <c r="I939" s="5">
        <f>SUM(F939:H939)</f>
        <v>267</v>
      </c>
      <c r="J939" s="7">
        <f>AVERAGE(F939:H939)</f>
        <v>89</v>
      </c>
      <c r="K939" s="8">
        <f>I939/300</f>
        <v>0.89</v>
      </c>
      <c r="L939" s="5">
        <f>_xlfn.RANK.EQ(J939,$J$2:$J$1001,0)</f>
        <v>59</v>
      </c>
    </row>
    <row r="940" spans="1:12" x14ac:dyDescent="0.3">
      <c r="A940" s="5" t="s">
        <v>17</v>
      </c>
      <c r="B940" s="5" t="s">
        <v>24</v>
      </c>
      <c r="C940" s="5" t="s">
        <v>14</v>
      </c>
      <c r="D940" s="5" t="s">
        <v>11</v>
      </c>
      <c r="E940" s="5" t="s">
        <v>15</v>
      </c>
      <c r="F940" s="5">
        <v>99</v>
      </c>
      <c r="G940" s="5">
        <v>87</v>
      </c>
      <c r="H940" s="6">
        <v>81</v>
      </c>
      <c r="I940" s="5">
        <f>SUM(F940:H940)</f>
        <v>267</v>
      </c>
      <c r="J940" s="7">
        <f>AVERAGE(F940:H940)</f>
        <v>89</v>
      </c>
      <c r="K940" s="8">
        <f>I940/300</f>
        <v>0.89</v>
      </c>
      <c r="L940" s="5">
        <f>_xlfn.RANK.EQ(J940,$J$2:$J$1001,0)</f>
        <v>59</v>
      </c>
    </row>
    <row r="941" spans="1:12" x14ac:dyDescent="0.3">
      <c r="A941" s="5" t="s">
        <v>17</v>
      </c>
      <c r="B941" s="5" t="s">
        <v>13</v>
      </c>
      <c r="C941" s="5" t="s">
        <v>14</v>
      </c>
      <c r="D941" s="5" t="s">
        <v>11</v>
      </c>
      <c r="E941" s="5" t="s">
        <v>15</v>
      </c>
      <c r="F941" s="5">
        <v>93</v>
      </c>
      <c r="G941" s="5">
        <v>84</v>
      </c>
      <c r="H941" s="6">
        <v>90</v>
      </c>
      <c r="I941" s="5">
        <f>SUM(F941:H941)</f>
        <v>267</v>
      </c>
      <c r="J941" s="7">
        <f>AVERAGE(F941:H941)</f>
        <v>89</v>
      </c>
      <c r="K941" s="8">
        <f>I941/300</f>
        <v>0.89</v>
      </c>
      <c r="L941" s="5">
        <f>_xlfn.RANK.EQ(J941,$J$2:$J$1001,0)</f>
        <v>59</v>
      </c>
    </row>
    <row r="942" spans="1:12" x14ac:dyDescent="0.3">
      <c r="A942" s="5" t="s">
        <v>17</v>
      </c>
      <c r="B942" s="5" t="s">
        <v>9</v>
      </c>
      <c r="C942" s="5" t="s">
        <v>23</v>
      </c>
      <c r="D942" s="5" t="s">
        <v>11</v>
      </c>
      <c r="E942" s="5" t="s">
        <v>15</v>
      </c>
      <c r="F942" s="5">
        <v>94</v>
      </c>
      <c r="G942" s="5">
        <v>86</v>
      </c>
      <c r="H942" s="6">
        <v>87</v>
      </c>
      <c r="I942" s="5">
        <f>SUM(F942:H942)</f>
        <v>267</v>
      </c>
      <c r="J942" s="7">
        <f>AVERAGE(F942:H942)</f>
        <v>89</v>
      </c>
      <c r="K942" s="8">
        <f>I942/300</f>
        <v>0.89</v>
      </c>
      <c r="L942" s="5">
        <f>_xlfn.RANK.EQ(J942,$J$2:$J$1001,0)</f>
        <v>59</v>
      </c>
    </row>
    <row r="943" spans="1:12" x14ac:dyDescent="0.3">
      <c r="A943" s="5" t="s">
        <v>8</v>
      </c>
      <c r="B943" s="5" t="s">
        <v>18</v>
      </c>
      <c r="C943" s="5" t="s">
        <v>23</v>
      </c>
      <c r="D943" s="5" t="s">
        <v>11</v>
      </c>
      <c r="E943" s="5" t="s">
        <v>15</v>
      </c>
      <c r="F943" s="5">
        <v>85</v>
      </c>
      <c r="G943" s="5">
        <v>90</v>
      </c>
      <c r="H943" s="6">
        <v>92</v>
      </c>
      <c r="I943" s="5">
        <f>SUM(F943:H943)</f>
        <v>267</v>
      </c>
      <c r="J943" s="7">
        <f>AVERAGE(F943:H943)</f>
        <v>89</v>
      </c>
      <c r="K943" s="8">
        <f>I943/300</f>
        <v>0.89</v>
      </c>
      <c r="L943" s="5">
        <f>_xlfn.RANK.EQ(J943,$J$2:$J$1001,0)</f>
        <v>59</v>
      </c>
    </row>
    <row r="944" spans="1:12" x14ac:dyDescent="0.3">
      <c r="A944" s="5" t="s">
        <v>8</v>
      </c>
      <c r="B944" s="5" t="s">
        <v>9</v>
      </c>
      <c r="C944" s="5" t="s">
        <v>22</v>
      </c>
      <c r="D944" s="5" t="s">
        <v>11</v>
      </c>
      <c r="E944" s="5" t="s">
        <v>12</v>
      </c>
      <c r="F944" s="5">
        <v>87</v>
      </c>
      <c r="G944" s="5">
        <v>95</v>
      </c>
      <c r="H944" s="6">
        <v>86</v>
      </c>
      <c r="I944" s="5">
        <f>SUM(F944:H944)</f>
        <v>268</v>
      </c>
      <c r="J944" s="7">
        <f>AVERAGE(F944:H944)</f>
        <v>89.333333333333329</v>
      </c>
      <c r="K944" s="8">
        <f>I944/300</f>
        <v>0.89333333333333331</v>
      </c>
      <c r="L944" s="5">
        <f>_xlfn.RANK.EQ(J944,$J$2:$J$1001,0)</f>
        <v>55</v>
      </c>
    </row>
    <row r="945" spans="1:12" x14ac:dyDescent="0.3">
      <c r="A945" s="5" t="s">
        <v>8</v>
      </c>
      <c r="B945" s="5" t="s">
        <v>13</v>
      </c>
      <c r="C945" s="5" t="s">
        <v>19</v>
      </c>
      <c r="D945" s="5" t="s">
        <v>20</v>
      </c>
      <c r="E945" s="5" t="s">
        <v>15</v>
      </c>
      <c r="F945" s="5">
        <v>82</v>
      </c>
      <c r="G945" s="5">
        <v>93</v>
      </c>
      <c r="H945" s="6">
        <v>93</v>
      </c>
      <c r="I945" s="5">
        <f>SUM(F945:H945)</f>
        <v>268</v>
      </c>
      <c r="J945" s="7">
        <f>AVERAGE(F945:H945)</f>
        <v>89.333333333333329</v>
      </c>
      <c r="K945" s="8">
        <f>I945/300</f>
        <v>0.89333333333333331</v>
      </c>
      <c r="L945" s="5">
        <f>_xlfn.RANK.EQ(J945,$J$2:$J$1001,0)</f>
        <v>55</v>
      </c>
    </row>
    <row r="946" spans="1:12" x14ac:dyDescent="0.3">
      <c r="A946" s="5" t="s">
        <v>8</v>
      </c>
      <c r="B946" s="5" t="s">
        <v>9</v>
      </c>
      <c r="C946" s="5" t="s">
        <v>16</v>
      </c>
      <c r="D946" s="5" t="s">
        <v>20</v>
      </c>
      <c r="E946" s="5" t="s">
        <v>15</v>
      </c>
      <c r="F946" s="5">
        <v>77</v>
      </c>
      <c r="G946" s="5">
        <v>97</v>
      </c>
      <c r="H946" s="6">
        <v>94</v>
      </c>
      <c r="I946" s="5">
        <f>SUM(F946:H946)</f>
        <v>268</v>
      </c>
      <c r="J946" s="7">
        <f>AVERAGE(F946:H946)</f>
        <v>89.333333333333329</v>
      </c>
      <c r="K946" s="8">
        <f>I946/300</f>
        <v>0.89333333333333331</v>
      </c>
      <c r="L946" s="5">
        <f>_xlfn.RANK.EQ(J946,$J$2:$J$1001,0)</f>
        <v>55</v>
      </c>
    </row>
    <row r="947" spans="1:12" x14ac:dyDescent="0.3">
      <c r="A947" s="5" t="s">
        <v>8</v>
      </c>
      <c r="B947" s="5" t="s">
        <v>18</v>
      </c>
      <c r="C947" s="5" t="s">
        <v>19</v>
      </c>
      <c r="D947" s="5" t="s">
        <v>11</v>
      </c>
      <c r="E947" s="5" t="s">
        <v>12</v>
      </c>
      <c r="F947" s="5">
        <v>82</v>
      </c>
      <c r="G947" s="5">
        <v>93</v>
      </c>
      <c r="H947" s="6">
        <v>93</v>
      </c>
      <c r="I947" s="5">
        <f>SUM(F947:H947)</f>
        <v>268</v>
      </c>
      <c r="J947" s="7">
        <f>AVERAGE(F947:H947)</f>
        <v>89.333333333333329</v>
      </c>
      <c r="K947" s="8">
        <f>I947/300</f>
        <v>0.89333333333333331</v>
      </c>
      <c r="L947" s="5">
        <f>_xlfn.RANK.EQ(J947,$J$2:$J$1001,0)</f>
        <v>55</v>
      </c>
    </row>
    <row r="948" spans="1:12" x14ac:dyDescent="0.3">
      <c r="A948" s="5" t="s">
        <v>8</v>
      </c>
      <c r="B948" s="5" t="s">
        <v>13</v>
      </c>
      <c r="C948" s="5" t="s">
        <v>19</v>
      </c>
      <c r="D948" s="5" t="s">
        <v>11</v>
      </c>
      <c r="E948" s="5" t="s">
        <v>12</v>
      </c>
      <c r="F948" s="5">
        <v>85</v>
      </c>
      <c r="G948" s="5">
        <v>89</v>
      </c>
      <c r="H948" s="6">
        <v>95</v>
      </c>
      <c r="I948" s="5">
        <f>SUM(F948:H948)</f>
        <v>269</v>
      </c>
      <c r="J948" s="7">
        <f>AVERAGE(F948:H948)</f>
        <v>89.666666666666671</v>
      </c>
      <c r="K948" s="8">
        <f>I948/300</f>
        <v>0.89666666666666661</v>
      </c>
      <c r="L948" s="5">
        <f>_xlfn.RANK.EQ(J948,$J$2:$J$1001,0)</f>
        <v>53</v>
      </c>
    </row>
    <row r="949" spans="1:12" x14ac:dyDescent="0.3">
      <c r="A949" s="5" t="s">
        <v>8</v>
      </c>
      <c r="B949" s="5" t="s">
        <v>21</v>
      </c>
      <c r="C949" s="5" t="s">
        <v>14</v>
      </c>
      <c r="D949" s="5" t="s">
        <v>11</v>
      </c>
      <c r="E949" s="5" t="s">
        <v>15</v>
      </c>
      <c r="F949" s="5">
        <v>85</v>
      </c>
      <c r="G949" s="5">
        <v>86</v>
      </c>
      <c r="H949" s="6">
        <v>98</v>
      </c>
      <c r="I949" s="5">
        <f>SUM(F949:H949)</f>
        <v>269</v>
      </c>
      <c r="J949" s="7">
        <f>AVERAGE(F949:H949)</f>
        <v>89.666666666666671</v>
      </c>
      <c r="K949" s="8">
        <f>I949/300</f>
        <v>0.89666666666666661</v>
      </c>
      <c r="L949" s="5">
        <f>_xlfn.RANK.EQ(J949,$J$2:$J$1001,0)</f>
        <v>53</v>
      </c>
    </row>
    <row r="950" spans="1:12" x14ac:dyDescent="0.3">
      <c r="A950" s="5" t="s">
        <v>8</v>
      </c>
      <c r="B950" s="5" t="s">
        <v>13</v>
      </c>
      <c r="C950" s="5" t="s">
        <v>23</v>
      </c>
      <c r="D950" s="5" t="s">
        <v>11</v>
      </c>
      <c r="E950" s="5" t="s">
        <v>15</v>
      </c>
      <c r="F950" s="5">
        <v>85</v>
      </c>
      <c r="G950" s="5">
        <v>92</v>
      </c>
      <c r="H950" s="6">
        <v>93</v>
      </c>
      <c r="I950" s="5">
        <f>SUM(F950:H950)</f>
        <v>270</v>
      </c>
      <c r="J950" s="7">
        <f>AVERAGE(F950:H950)</f>
        <v>90</v>
      </c>
      <c r="K950" s="8">
        <f>I950/300</f>
        <v>0.9</v>
      </c>
      <c r="L950" s="5">
        <f>_xlfn.RANK.EQ(J950,$J$2:$J$1001,0)</f>
        <v>51</v>
      </c>
    </row>
    <row r="951" spans="1:12" x14ac:dyDescent="0.3">
      <c r="A951" s="5" t="s">
        <v>8</v>
      </c>
      <c r="B951" s="5" t="s">
        <v>13</v>
      </c>
      <c r="C951" s="5" t="s">
        <v>14</v>
      </c>
      <c r="D951" s="5" t="s">
        <v>11</v>
      </c>
      <c r="E951" s="5" t="s">
        <v>15</v>
      </c>
      <c r="F951" s="5">
        <v>87</v>
      </c>
      <c r="G951" s="5">
        <v>89</v>
      </c>
      <c r="H951" s="6">
        <v>94</v>
      </c>
      <c r="I951" s="5">
        <f>SUM(F951:H951)</f>
        <v>270</v>
      </c>
      <c r="J951" s="7">
        <f>AVERAGE(F951:H951)</f>
        <v>90</v>
      </c>
      <c r="K951" s="8">
        <f>I951/300</f>
        <v>0.9</v>
      </c>
      <c r="L951" s="5">
        <f>_xlfn.RANK.EQ(J951,$J$2:$J$1001,0)</f>
        <v>51</v>
      </c>
    </row>
    <row r="952" spans="1:12" x14ac:dyDescent="0.3">
      <c r="A952" s="5" t="s">
        <v>8</v>
      </c>
      <c r="B952" s="5" t="s">
        <v>13</v>
      </c>
      <c r="C952" s="5" t="s">
        <v>10</v>
      </c>
      <c r="D952" s="5" t="s">
        <v>11</v>
      </c>
      <c r="E952" s="5" t="s">
        <v>12</v>
      </c>
      <c r="F952" s="5">
        <v>83</v>
      </c>
      <c r="G952" s="5">
        <v>93</v>
      </c>
      <c r="H952" s="6">
        <v>95</v>
      </c>
      <c r="I952" s="5">
        <f>SUM(F952:H952)</f>
        <v>271</v>
      </c>
      <c r="J952" s="7">
        <f>AVERAGE(F952:H952)</f>
        <v>90.333333333333329</v>
      </c>
      <c r="K952" s="8">
        <f>I952/300</f>
        <v>0.90333333333333332</v>
      </c>
      <c r="L952" s="5">
        <f>_xlfn.RANK.EQ(J952,$J$2:$J$1001,0)</f>
        <v>48</v>
      </c>
    </row>
    <row r="953" spans="1:12" x14ac:dyDescent="0.3">
      <c r="A953" s="5" t="s">
        <v>8</v>
      </c>
      <c r="B953" s="5" t="s">
        <v>9</v>
      </c>
      <c r="C953" s="5" t="s">
        <v>19</v>
      </c>
      <c r="D953" s="5" t="s">
        <v>11</v>
      </c>
      <c r="E953" s="5" t="s">
        <v>15</v>
      </c>
      <c r="F953" s="5">
        <v>90</v>
      </c>
      <c r="G953" s="5">
        <v>90</v>
      </c>
      <c r="H953" s="6">
        <v>91</v>
      </c>
      <c r="I953" s="5">
        <f>SUM(F953:H953)</f>
        <v>271</v>
      </c>
      <c r="J953" s="7">
        <f>AVERAGE(F953:H953)</f>
        <v>90.333333333333329</v>
      </c>
      <c r="K953" s="8">
        <f>I953/300</f>
        <v>0.90333333333333332</v>
      </c>
      <c r="L953" s="5">
        <f>_xlfn.RANK.EQ(J953,$J$2:$J$1001,0)</f>
        <v>48</v>
      </c>
    </row>
    <row r="954" spans="1:12" x14ac:dyDescent="0.3">
      <c r="A954" s="5" t="s">
        <v>8</v>
      </c>
      <c r="B954" s="5" t="s">
        <v>24</v>
      </c>
      <c r="C954" s="5" t="s">
        <v>19</v>
      </c>
      <c r="D954" s="5" t="s">
        <v>11</v>
      </c>
      <c r="E954" s="5" t="s">
        <v>12</v>
      </c>
      <c r="F954" s="5">
        <v>84</v>
      </c>
      <c r="G954" s="5">
        <v>95</v>
      </c>
      <c r="H954" s="6">
        <v>92</v>
      </c>
      <c r="I954" s="5">
        <f>SUM(F954:H954)</f>
        <v>271</v>
      </c>
      <c r="J954" s="7">
        <f>AVERAGE(F954:H954)</f>
        <v>90.333333333333329</v>
      </c>
      <c r="K954" s="8">
        <f>I954/300</f>
        <v>0.90333333333333332</v>
      </c>
      <c r="L954" s="5">
        <f>_xlfn.RANK.EQ(J954,$J$2:$J$1001,0)</f>
        <v>48</v>
      </c>
    </row>
    <row r="955" spans="1:12" x14ac:dyDescent="0.3">
      <c r="A955" s="5" t="s">
        <v>17</v>
      </c>
      <c r="B955" s="5" t="s">
        <v>9</v>
      </c>
      <c r="C955" s="5" t="s">
        <v>19</v>
      </c>
      <c r="D955" s="5" t="s">
        <v>11</v>
      </c>
      <c r="E955" s="5" t="s">
        <v>15</v>
      </c>
      <c r="F955" s="5">
        <v>91</v>
      </c>
      <c r="G955" s="5">
        <v>89</v>
      </c>
      <c r="H955" s="6">
        <v>92</v>
      </c>
      <c r="I955" s="5">
        <f>SUM(F955:H955)</f>
        <v>272</v>
      </c>
      <c r="J955" s="7">
        <f>AVERAGE(F955:H955)</f>
        <v>90.666666666666671</v>
      </c>
      <c r="K955" s="8">
        <f>I955/300</f>
        <v>0.90666666666666662</v>
      </c>
      <c r="L955" s="5">
        <f>_xlfn.RANK.EQ(J955,$J$2:$J$1001,0)</f>
        <v>47</v>
      </c>
    </row>
    <row r="956" spans="1:12" x14ac:dyDescent="0.3">
      <c r="A956" s="5" t="s">
        <v>8</v>
      </c>
      <c r="B956" s="5" t="s">
        <v>9</v>
      </c>
      <c r="C956" s="5" t="s">
        <v>19</v>
      </c>
      <c r="D956" s="5" t="s">
        <v>11</v>
      </c>
      <c r="E956" s="5" t="s">
        <v>15</v>
      </c>
      <c r="F956" s="5">
        <v>94</v>
      </c>
      <c r="G956" s="5">
        <v>87</v>
      </c>
      <c r="H956" s="6">
        <v>92</v>
      </c>
      <c r="I956" s="5">
        <f>SUM(F956:H956)</f>
        <v>273</v>
      </c>
      <c r="J956" s="7">
        <f>AVERAGE(F956:H956)</f>
        <v>91</v>
      </c>
      <c r="K956" s="8">
        <f>I956/300</f>
        <v>0.91</v>
      </c>
      <c r="L956" s="5">
        <f>_xlfn.RANK.EQ(J956,$J$2:$J$1001,0)</f>
        <v>46</v>
      </c>
    </row>
    <row r="957" spans="1:12" x14ac:dyDescent="0.3">
      <c r="A957" s="5" t="s">
        <v>17</v>
      </c>
      <c r="B957" s="5" t="s">
        <v>13</v>
      </c>
      <c r="C957" s="5" t="s">
        <v>14</v>
      </c>
      <c r="D957" s="5" t="s">
        <v>11</v>
      </c>
      <c r="E957" s="5" t="s">
        <v>15</v>
      </c>
      <c r="F957" s="5">
        <v>98</v>
      </c>
      <c r="G957" s="5">
        <v>86</v>
      </c>
      <c r="H957" s="6">
        <v>90</v>
      </c>
      <c r="I957" s="5">
        <f>SUM(F957:H957)</f>
        <v>274</v>
      </c>
      <c r="J957" s="7">
        <f>AVERAGE(F957:H957)</f>
        <v>91.333333333333329</v>
      </c>
      <c r="K957" s="8">
        <f>I957/300</f>
        <v>0.91333333333333333</v>
      </c>
      <c r="L957" s="5">
        <f>_xlfn.RANK.EQ(J957,$J$2:$J$1001,0)</f>
        <v>43</v>
      </c>
    </row>
    <row r="958" spans="1:12" x14ac:dyDescent="0.3">
      <c r="A958" s="5" t="s">
        <v>8</v>
      </c>
      <c r="B958" s="5" t="s">
        <v>13</v>
      </c>
      <c r="C958" s="5" t="s">
        <v>14</v>
      </c>
      <c r="D958" s="5" t="s">
        <v>11</v>
      </c>
      <c r="E958" s="5" t="s">
        <v>15</v>
      </c>
      <c r="F958" s="5">
        <v>88</v>
      </c>
      <c r="G958" s="5">
        <v>93</v>
      </c>
      <c r="H958" s="6">
        <v>93</v>
      </c>
      <c r="I958" s="5">
        <f>SUM(F958:H958)</f>
        <v>274</v>
      </c>
      <c r="J958" s="7">
        <f>AVERAGE(F958:H958)</f>
        <v>91.333333333333329</v>
      </c>
      <c r="K958" s="8">
        <f>I958/300</f>
        <v>0.91333333333333333</v>
      </c>
      <c r="L958" s="5">
        <f>_xlfn.RANK.EQ(J958,$J$2:$J$1001,0)</f>
        <v>43</v>
      </c>
    </row>
    <row r="959" spans="1:12" x14ac:dyDescent="0.3">
      <c r="A959" s="5" t="s">
        <v>8</v>
      </c>
      <c r="B959" s="5" t="s">
        <v>21</v>
      </c>
      <c r="C959" s="5" t="s">
        <v>23</v>
      </c>
      <c r="D959" s="5" t="s">
        <v>11</v>
      </c>
      <c r="E959" s="5" t="s">
        <v>12</v>
      </c>
      <c r="F959" s="5">
        <v>81</v>
      </c>
      <c r="G959" s="5">
        <v>97</v>
      </c>
      <c r="H959" s="6">
        <v>96</v>
      </c>
      <c r="I959" s="5">
        <f>SUM(F959:H959)</f>
        <v>274</v>
      </c>
      <c r="J959" s="7">
        <f>AVERAGE(F959:H959)</f>
        <v>91.333333333333329</v>
      </c>
      <c r="K959" s="8">
        <f>I959/300</f>
        <v>0.91333333333333333</v>
      </c>
      <c r="L959" s="5">
        <f>_xlfn.RANK.EQ(J959,$J$2:$J$1001,0)</f>
        <v>43</v>
      </c>
    </row>
    <row r="960" spans="1:12" x14ac:dyDescent="0.3">
      <c r="A960" s="5" t="s">
        <v>8</v>
      </c>
      <c r="B960" s="5" t="s">
        <v>9</v>
      </c>
      <c r="C960" s="5" t="s">
        <v>14</v>
      </c>
      <c r="D960" s="5" t="s">
        <v>11</v>
      </c>
      <c r="E960" s="5" t="s">
        <v>15</v>
      </c>
      <c r="F960" s="5">
        <v>88</v>
      </c>
      <c r="G960" s="5">
        <v>95</v>
      </c>
      <c r="H960" s="6">
        <v>92</v>
      </c>
      <c r="I960" s="5">
        <f>SUM(F960:H960)</f>
        <v>275</v>
      </c>
      <c r="J960" s="7">
        <f>AVERAGE(F960:H960)</f>
        <v>91.666666666666671</v>
      </c>
      <c r="K960" s="8">
        <f>I960/300</f>
        <v>0.91666666666666663</v>
      </c>
      <c r="L960" s="5">
        <f>_xlfn.RANK.EQ(J960,$J$2:$J$1001,0)</f>
        <v>37</v>
      </c>
    </row>
    <row r="961" spans="1:12" x14ac:dyDescent="0.3">
      <c r="A961" s="5" t="s">
        <v>8</v>
      </c>
      <c r="B961" s="5" t="s">
        <v>21</v>
      </c>
      <c r="C961" s="5" t="s">
        <v>19</v>
      </c>
      <c r="D961" s="5" t="s">
        <v>11</v>
      </c>
      <c r="E961" s="5" t="s">
        <v>15</v>
      </c>
      <c r="F961" s="5">
        <v>88</v>
      </c>
      <c r="G961" s="5">
        <v>92</v>
      </c>
      <c r="H961" s="6">
        <v>95</v>
      </c>
      <c r="I961" s="5">
        <f>SUM(F961:H961)</f>
        <v>275</v>
      </c>
      <c r="J961" s="7">
        <f>AVERAGE(F961:H961)</f>
        <v>91.666666666666671</v>
      </c>
      <c r="K961" s="8">
        <f>I961/300</f>
        <v>0.91666666666666663</v>
      </c>
      <c r="L961" s="5">
        <f>_xlfn.RANK.EQ(J961,$J$2:$J$1001,0)</f>
        <v>37</v>
      </c>
    </row>
    <row r="962" spans="1:12" x14ac:dyDescent="0.3">
      <c r="A962" s="5" t="s">
        <v>8</v>
      </c>
      <c r="B962" s="5" t="s">
        <v>21</v>
      </c>
      <c r="C962" s="5" t="s">
        <v>14</v>
      </c>
      <c r="D962" s="5" t="s">
        <v>11</v>
      </c>
      <c r="E962" s="5" t="s">
        <v>15</v>
      </c>
      <c r="F962" s="5">
        <v>82</v>
      </c>
      <c r="G962" s="5">
        <v>97</v>
      </c>
      <c r="H962" s="6">
        <v>96</v>
      </c>
      <c r="I962" s="5">
        <f>SUM(F962:H962)</f>
        <v>275</v>
      </c>
      <c r="J962" s="7">
        <f>AVERAGE(F962:H962)</f>
        <v>91.666666666666671</v>
      </c>
      <c r="K962" s="8">
        <f>I962/300</f>
        <v>0.91666666666666663</v>
      </c>
      <c r="L962" s="5">
        <f>_xlfn.RANK.EQ(J962,$J$2:$J$1001,0)</f>
        <v>37</v>
      </c>
    </row>
    <row r="963" spans="1:12" x14ac:dyDescent="0.3">
      <c r="A963" s="5" t="s">
        <v>17</v>
      </c>
      <c r="B963" s="5" t="s">
        <v>18</v>
      </c>
      <c r="C963" s="5" t="s">
        <v>19</v>
      </c>
      <c r="D963" s="5" t="s">
        <v>11</v>
      </c>
      <c r="E963" s="5" t="s">
        <v>15</v>
      </c>
      <c r="F963" s="5">
        <v>97</v>
      </c>
      <c r="G963" s="5">
        <v>92</v>
      </c>
      <c r="H963" s="6">
        <v>86</v>
      </c>
      <c r="I963" s="5">
        <f>SUM(F963:H963)</f>
        <v>275</v>
      </c>
      <c r="J963" s="7">
        <f>AVERAGE(F963:H963)</f>
        <v>91.666666666666671</v>
      </c>
      <c r="K963" s="8">
        <f>I963/300</f>
        <v>0.91666666666666663</v>
      </c>
      <c r="L963" s="5">
        <f>_xlfn.RANK.EQ(J963,$J$2:$J$1001,0)</f>
        <v>37</v>
      </c>
    </row>
    <row r="964" spans="1:12" x14ac:dyDescent="0.3">
      <c r="A964" s="5" t="s">
        <v>17</v>
      </c>
      <c r="B964" s="5" t="s">
        <v>13</v>
      </c>
      <c r="C964" s="5" t="s">
        <v>10</v>
      </c>
      <c r="D964" s="5" t="s">
        <v>11</v>
      </c>
      <c r="E964" s="5" t="s">
        <v>15</v>
      </c>
      <c r="F964" s="5">
        <v>94</v>
      </c>
      <c r="G964" s="5">
        <v>90</v>
      </c>
      <c r="H964" s="6">
        <v>91</v>
      </c>
      <c r="I964" s="5">
        <f>SUM(F964:H964)</f>
        <v>275</v>
      </c>
      <c r="J964" s="7">
        <f>AVERAGE(F964:H964)</f>
        <v>91.666666666666671</v>
      </c>
      <c r="K964" s="8">
        <f>I964/300</f>
        <v>0.91666666666666663</v>
      </c>
      <c r="L964" s="5">
        <f>_xlfn.RANK.EQ(J964,$J$2:$J$1001,0)</f>
        <v>37</v>
      </c>
    </row>
    <row r="965" spans="1:12" x14ac:dyDescent="0.3">
      <c r="A965" s="5" t="s">
        <v>17</v>
      </c>
      <c r="B965" s="5" t="s">
        <v>13</v>
      </c>
      <c r="C965" s="5" t="s">
        <v>19</v>
      </c>
      <c r="D965" s="5" t="s">
        <v>11</v>
      </c>
      <c r="E965" s="5" t="s">
        <v>15</v>
      </c>
      <c r="F965" s="5">
        <v>98</v>
      </c>
      <c r="G965" s="5">
        <v>87</v>
      </c>
      <c r="H965" s="6">
        <v>90</v>
      </c>
      <c r="I965" s="5">
        <f>SUM(F965:H965)</f>
        <v>275</v>
      </c>
      <c r="J965" s="7">
        <f>AVERAGE(F965:H965)</f>
        <v>91.666666666666671</v>
      </c>
      <c r="K965" s="8">
        <f>I965/300</f>
        <v>0.91666666666666663</v>
      </c>
      <c r="L965" s="5">
        <f>_xlfn.RANK.EQ(J965,$J$2:$J$1001,0)</f>
        <v>37</v>
      </c>
    </row>
    <row r="966" spans="1:12" x14ac:dyDescent="0.3">
      <c r="A966" s="5" t="s">
        <v>8</v>
      </c>
      <c r="B966" s="5" t="s">
        <v>24</v>
      </c>
      <c r="C966" s="5" t="s">
        <v>19</v>
      </c>
      <c r="D966" s="5" t="s">
        <v>11</v>
      </c>
      <c r="E966" s="5" t="s">
        <v>15</v>
      </c>
      <c r="F966" s="5">
        <v>95</v>
      </c>
      <c r="G966" s="5">
        <v>89</v>
      </c>
      <c r="H966" s="6">
        <v>92</v>
      </c>
      <c r="I966" s="5">
        <f>SUM(F966:H966)</f>
        <v>276</v>
      </c>
      <c r="J966" s="7">
        <f>AVERAGE(F966:H966)</f>
        <v>92</v>
      </c>
      <c r="K966" s="8">
        <f>I966/300</f>
        <v>0.92</v>
      </c>
      <c r="L966" s="5">
        <f>_xlfn.RANK.EQ(J966,$J$2:$J$1001,0)</f>
        <v>35</v>
      </c>
    </row>
    <row r="967" spans="1:12" x14ac:dyDescent="0.3">
      <c r="A967" s="5" t="s">
        <v>8</v>
      </c>
      <c r="B967" s="5" t="s">
        <v>24</v>
      </c>
      <c r="C967" s="5" t="s">
        <v>19</v>
      </c>
      <c r="D967" s="5" t="s">
        <v>11</v>
      </c>
      <c r="E967" s="5" t="s">
        <v>12</v>
      </c>
      <c r="F967" s="5">
        <v>87</v>
      </c>
      <c r="G967" s="5">
        <v>94</v>
      </c>
      <c r="H967" s="6">
        <v>95</v>
      </c>
      <c r="I967" s="5">
        <f>SUM(F967:H967)</f>
        <v>276</v>
      </c>
      <c r="J967" s="7">
        <f>AVERAGE(F967:H967)</f>
        <v>92</v>
      </c>
      <c r="K967" s="8">
        <f>I967/300</f>
        <v>0.92</v>
      </c>
      <c r="L967" s="5">
        <f>_xlfn.RANK.EQ(J967,$J$2:$J$1001,0)</f>
        <v>35</v>
      </c>
    </row>
    <row r="968" spans="1:12" x14ac:dyDescent="0.3">
      <c r="A968" s="5" t="s">
        <v>8</v>
      </c>
      <c r="B968" s="5" t="s">
        <v>13</v>
      </c>
      <c r="C968" s="5" t="s">
        <v>14</v>
      </c>
      <c r="D968" s="5" t="s">
        <v>11</v>
      </c>
      <c r="E968" s="5" t="s">
        <v>15</v>
      </c>
      <c r="F968" s="5">
        <v>88</v>
      </c>
      <c r="G968" s="5">
        <v>95</v>
      </c>
      <c r="H968" s="6">
        <v>94</v>
      </c>
      <c r="I968" s="5">
        <f>SUM(F968:H968)</f>
        <v>277</v>
      </c>
      <c r="J968" s="7">
        <f>AVERAGE(F968:H968)</f>
        <v>92.333333333333329</v>
      </c>
      <c r="K968" s="8">
        <f>I968/300</f>
        <v>0.92333333333333334</v>
      </c>
      <c r="L968" s="5">
        <f>_xlfn.RANK.EQ(J968,$J$2:$J$1001,0)</f>
        <v>34</v>
      </c>
    </row>
    <row r="969" spans="1:12" x14ac:dyDescent="0.3">
      <c r="A969" s="5" t="s">
        <v>8</v>
      </c>
      <c r="B969" s="5" t="s">
        <v>9</v>
      </c>
      <c r="C969" s="5" t="s">
        <v>16</v>
      </c>
      <c r="D969" s="5" t="s">
        <v>11</v>
      </c>
      <c r="E969" s="5" t="s">
        <v>12</v>
      </c>
      <c r="F969" s="5">
        <v>90</v>
      </c>
      <c r="G969" s="5">
        <v>95</v>
      </c>
      <c r="H969" s="6">
        <v>93</v>
      </c>
      <c r="I969" s="5">
        <f>SUM(F969:H969)</f>
        <v>278</v>
      </c>
      <c r="J969" s="7">
        <f>AVERAGE(F969:H969)</f>
        <v>92.666666666666671</v>
      </c>
      <c r="K969" s="8">
        <f>I969/300</f>
        <v>0.92666666666666664</v>
      </c>
      <c r="L969" s="5">
        <f>_xlfn.RANK.EQ(J969,$J$2:$J$1001,0)</f>
        <v>31</v>
      </c>
    </row>
    <row r="970" spans="1:12" x14ac:dyDescent="0.3">
      <c r="A970" s="5" t="s">
        <v>17</v>
      </c>
      <c r="B970" s="5" t="s">
        <v>13</v>
      </c>
      <c r="C970" s="5" t="s">
        <v>10</v>
      </c>
      <c r="D970" s="5" t="s">
        <v>11</v>
      </c>
      <c r="E970" s="5" t="s">
        <v>15</v>
      </c>
      <c r="F970" s="5">
        <v>96</v>
      </c>
      <c r="G970" s="5">
        <v>90</v>
      </c>
      <c r="H970" s="6">
        <v>92</v>
      </c>
      <c r="I970" s="5">
        <f>SUM(F970:H970)</f>
        <v>278</v>
      </c>
      <c r="J970" s="7">
        <f>AVERAGE(F970:H970)</f>
        <v>92.666666666666671</v>
      </c>
      <c r="K970" s="8">
        <f>I970/300</f>
        <v>0.92666666666666664</v>
      </c>
      <c r="L970" s="5">
        <f>_xlfn.RANK.EQ(J970,$J$2:$J$1001,0)</f>
        <v>31</v>
      </c>
    </row>
    <row r="971" spans="1:12" x14ac:dyDescent="0.3">
      <c r="A971" s="5" t="s">
        <v>17</v>
      </c>
      <c r="B971" s="5" t="s">
        <v>9</v>
      </c>
      <c r="C971" s="5" t="s">
        <v>14</v>
      </c>
      <c r="D971" s="5" t="s">
        <v>11</v>
      </c>
      <c r="E971" s="5" t="s">
        <v>15</v>
      </c>
      <c r="F971" s="5">
        <v>91</v>
      </c>
      <c r="G971" s="5">
        <v>96</v>
      </c>
      <c r="H971" s="6">
        <v>91</v>
      </c>
      <c r="I971" s="5">
        <f>SUM(F971:H971)</f>
        <v>278</v>
      </c>
      <c r="J971" s="7">
        <f>AVERAGE(F971:H971)</f>
        <v>92.666666666666671</v>
      </c>
      <c r="K971" s="8">
        <f>I971/300</f>
        <v>0.92666666666666664</v>
      </c>
      <c r="L971" s="5">
        <f>_xlfn.RANK.EQ(J971,$J$2:$J$1001,0)</f>
        <v>31</v>
      </c>
    </row>
    <row r="972" spans="1:12" x14ac:dyDescent="0.3">
      <c r="A972" s="5" t="s">
        <v>17</v>
      </c>
      <c r="B972" s="5" t="s">
        <v>18</v>
      </c>
      <c r="C972" s="5" t="s">
        <v>10</v>
      </c>
      <c r="D972" s="5" t="s">
        <v>11</v>
      </c>
      <c r="E972" s="5" t="s">
        <v>12</v>
      </c>
      <c r="F972" s="5">
        <v>91</v>
      </c>
      <c r="G972" s="5">
        <v>96</v>
      </c>
      <c r="H972" s="6">
        <v>92</v>
      </c>
      <c r="I972" s="5">
        <f>SUM(F972:H972)</f>
        <v>279</v>
      </c>
      <c r="J972" s="7">
        <f>AVERAGE(F972:H972)</f>
        <v>93</v>
      </c>
      <c r="K972" s="8">
        <f>I972/300</f>
        <v>0.93</v>
      </c>
      <c r="L972" s="5">
        <f>_xlfn.RANK.EQ(J972,$J$2:$J$1001,0)</f>
        <v>30</v>
      </c>
    </row>
    <row r="973" spans="1:12" x14ac:dyDescent="0.3">
      <c r="A973" s="5" t="s">
        <v>8</v>
      </c>
      <c r="B973" s="5" t="s">
        <v>21</v>
      </c>
      <c r="C973" s="5" t="s">
        <v>16</v>
      </c>
      <c r="D973" s="5" t="s">
        <v>20</v>
      </c>
      <c r="E973" s="5" t="s">
        <v>15</v>
      </c>
      <c r="F973" s="5">
        <v>85</v>
      </c>
      <c r="G973" s="5">
        <v>95</v>
      </c>
      <c r="H973" s="6">
        <v>100</v>
      </c>
      <c r="I973" s="5">
        <f>SUM(F973:H973)</f>
        <v>280</v>
      </c>
      <c r="J973" s="7">
        <f>AVERAGE(F973:H973)</f>
        <v>93.333333333333329</v>
      </c>
      <c r="K973" s="8">
        <f>I973/300</f>
        <v>0.93333333333333335</v>
      </c>
      <c r="L973" s="5">
        <f>_xlfn.RANK.EQ(J973,$J$2:$J$1001,0)</f>
        <v>28</v>
      </c>
    </row>
    <row r="974" spans="1:12" x14ac:dyDescent="0.3">
      <c r="A974" s="5" t="s">
        <v>8</v>
      </c>
      <c r="B974" s="5" t="s">
        <v>13</v>
      </c>
      <c r="C974" s="5" t="s">
        <v>19</v>
      </c>
      <c r="D974" s="5" t="s">
        <v>11</v>
      </c>
      <c r="E974" s="5" t="s">
        <v>12</v>
      </c>
      <c r="F974" s="5">
        <v>91</v>
      </c>
      <c r="G974" s="5">
        <v>95</v>
      </c>
      <c r="H974" s="6">
        <v>94</v>
      </c>
      <c r="I974" s="5">
        <f>SUM(F974:H974)</f>
        <v>280</v>
      </c>
      <c r="J974" s="7">
        <f>AVERAGE(F974:H974)</f>
        <v>93.333333333333329</v>
      </c>
      <c r="K974" s="8">
        <f>I974/300</f>
        <v>0.93333333333333335</v>
      </c>
      <c r="L974" s="5">
        <f>_xlfn.RANK.EQ(J974,$J$2:$J$1001,0)</f>
        <v>28</v>
      </c>
    </row>
    <row r="975" spans="1:12" x14ac:dyDescent="0.3">
      <c r="A975" s="5" t="s">
        <v>17</v>
      </c>
      <c r="B975" s="5" t="s">
        <v>13</v>
      </c>
      <c r="C975" s="5" t="s">
        <v>19</v>
      </c>
      <c r="D975" s="5" t="s">
        <v>11</v>
      </c>
      <c r="E975" s="5" t="s">
        <v>12</v>
      </c>
      <c r="F975" s="5">
        <v>97</v>
      </c>
      <c r="G975" s="5">
        <v>93</v>
      </c>
      <c r="H975" s="6">
        <v>91</v>
      </c>
      <c r="I975" s="5">
        <f>SUM(F975:H975)</f>
        <v>281</v>
      </c>
      <c r="J975" s="7">
        <f>AVERAGE(F975:H975)</f>
        <v>93.666666666666671</v>
      </c>
      <c r="K975" s="8">
        <f>I975/300</f>
        <v>0.93666666666666665</v>
      </c>
      <c r="L975" s="5">
        <f>_xlfn.RANK.EQ(J975,$J$2:$J$1001,0)</f>
        <v>27</v>
      </c>
    </row>
    <row r="976" spans="1:12" x14ac:dyDescent="0.3">
      <c r="A976" s="5" t="s">
        <v>8</v>
      </c>
      <c r="B976" s="5" t="s">
        <v>24</v>
      </c>
      <c r="C976" s="5" t="s">
        <v>22</v>
      </c>
      <c r="D976" s="5" t="s">
        <v>11</v>
      </c>
      <c r="E976" s="5" t="s">
        <v>12</v>
      </c>
      <c r="F976" s="5">
        <v>99</v>
      </c>
      <c r="G976" s="5">
        <v>93</v>
      </c>
      <c r="H976" s="6">
        <v>90</v>
      </c>
      <c r="I976" s="5">
        <f>SUM(F976:H976)</f>
        <v>282</v>
      </c>
      <c r="J976" s="7">
        <f>AVERAGE(F976:H976)</f>
        <v>94</v>
      </c>
      <c r="K976" s="8">
        <f>I976/300</f>
        <v>0.94</v>
      </c>
      <c r="L976" s="5">
        <f>_xlfn.RANK.EQ(J976,$J$2:$J$1001,0)</f>
        <v>23</v>
      </c>
    </row>
    <row r="977" spans="1:12" x14ac:dyDescent="0.3">
      <c r="A977" s="5" t="s">
        <v>17</v>
      </c>
      <c r="B977" s="5" t="s">
        <v>13</v>
      </c>
      <c r="C977" s="5" t="s">
        <v>19</v>
      </c>
      <c r="D977" s="5" t="s">
        <v>11</v>
      </c>
      <c r="E977" s="5" t="s">
        <v>15</v>
      </c>
      <c r="F977" s="5">
        <v>87</v>
      </c>
      <c r="G977" s="5">
        <v>100</v>
      </c>
      <c r="H977" s="6">
        <v>95</v>
      </c>
      <c r="I977" s="5">
        <f>SUM(F977:H977)</f>
        <v>282</v>
      </c>
      <c r="J977" s="7">
        <f>AVERAGE(F977:H977)</f>
        <v>94</v>
      </c>
      <c r="K977" s="8">
        <f>I977/300</f>
        <v>0.94</v>
      </c>
      <c r="L977" s="5">
        <f>_xlfn.RANK.EQ(J977,$J$2:$J$1001,0)</f>
        <v>23</v>
      </c>
    </row>
    <row r="978" spans="1:12" x14ac:dyDescent="0.3">
      <c r="A978" s="5" t="s">
        <v>17</v>
      </c>
      <c r="B978" s="5" t="s">
        <v>18</v>
      </c>
      <c r="C978" s="5" t="s">
        <v>14</v>
      </c>
      <c r="D978" s="5" t="s">
        <v>11</v>
      </c>
      <c r="E978" s="5" t="s">
        <v>15</v>
      </c>
      <c r="F978" s="5">
        <v>100</v>
      </c>
      <c r="G978" s="5">
        <v>96</v>
      </c>
      <c r="H978" s="6">
        <v>86</v>
      </c>
      <c r="I978" s="5">
        <f>SUM(F978:H978)</f>
        <v>282</v>
      </c>
      <c r="J978" s="7">
        <f>AVERAGE(F978:H978)</f>
        <v>94</v>
      </c>
      <c r="K978" s="8">
        <f>I978/300</f>
        <v>0.94</v>
      </c>
      <c r="L978" s="5">
        <f>_xlfn.RANK.EQ(J978,$J$2:$J$1001,0)</f>
        <v>23</v>
      </c>
    </row>
    <row r="979" spans="1:12" x14ac:dyDescent="0.3">
      <c r="A979" s="5" t="s">
        <v>8</v>
      </c>
      <c r="B979" s="5" t="s">
        <v>24</v>
      </c>
      <c r="C979" s="5" t="s">
        <v>16</v>
      </c>
      <c r="D979" s="5" t="s">
        <v>11</v>
      </c>
      <c r="E979" s="5" t="s">
        <v>15</v>
      </c>
      <c r="F979" s="5">
        <v>88</v>
      </c>
      <c r="G979" s="5">
        <v>99</v>
      </c>
      <c r="H979" s="6">
        <v>95</v>
      </c>
      <c r="I979" s="5">
        <f>SUM(F979:H979)</f>
        <v>282</v>
      </c>
      <c r="J979" s="7">
        <f>AVERAGE(F979:H979)</f>
        <v>94</v>
      </c>
      <c r="K979" s="8">
        <f>I979/300</f>
        <v>0.94</v>
      </c>
      <c r="L979" s="5">
        <f>_xlfn.RANK.EQ(J979,$J$2:$J$1001,0)</f>
        <v>23</v>
      </c>
    </row>
    <row r="980" spans="1:12" x14ac:dyDescent="0.3">
      <c r="A980" s="5" t="s">
        <v>8</v>
      </c>
      <c r="B980" s="5" t="s">
        <v>21</v>
      </c>
      <c r="C980" s="5" t="s">
        <v>16</v>
      </c>
      <c r="D980" s="5" t="s">
        <v>11</v>
      </c>
      <c r="E980" s="5" t="s">
        <v>12</v>
      </c>
      <c r="F980" s="5">
        <v>87</v>
      </c>
      <c r="G980" s="5">
        <v>100</v>
      </c>
      <c r="H980" s="6">
        <v>100</v>
      </c>
      <c r="I980" s="5">
        <f>SUM(F980:H980)</f>
        <v>287</v>
      </c>
      <c r="J980" s="7">
        <f>AVERAGE(F980:H980)</f>
        <v>95.666666666666671</v>
      </c>
      <c r="K980" s="8">
        <f>I980/300</f>
        <v>0.95666666666666667</v>
      </c>
      <c r="L980" s="5">
        <f>_xlfn.RANK.EQ(J980,$J$2:$J$1001,0)</f>
        <v>21</v>
      </c>
    </row>
    <row r="981" spans="1:12" x14ac:dyDescent="0.3">
      <c r="A981" s="5" t="s">
        <v>8</v>
      </c>
      <c r="B981" s="5" t="s">
        <v>21</v>
      </c>
      <c r="C981" s="5" t="s">
        <v>22</v>
      </c>
      <c r="D981" s="5" t="s">
        <v>11</v>
      </c>
      <c r="E981" s="5" t="s">
        <v>15</v>
      </c>
      <c r="F981" s="5">
        <v>88</v>
      </c>
      <c r="G981" s="5">
        <v>99</v>
      </c>
      <c r="H981" s="6">
        <v>100</v>
      </c>
      <c r="I981" s="5">
        <f>SUM(F981:H981)</f>
        <v>287</v>
      </c>
      <c r="J981" s="7">
        <f>AVERAGE(F981:H981)</f>
        <v>95.666666666666671</v>
      </c>
      <c r="K981" s="8">
        <f>I981/300</f>
        <v>0.95666666666666667</v>
      </c>
      <c r="L981" s="5">
        <f>_xlfn.RANK.EQ(J981,$J$2:$J$1001,0)</f>
        <v>21</v>
      </c>
    </row>
    <row r="982" spans="1:12" x14ac:dyDescent="0.3">
      <c r="A982" s="5" t="s">
        <v>8</v>
      </c>
      <c r="B982" s="5" t="s">
        <v>24</v>
      </c>
      <c r="C982" s="5" t="s">
        <v>19</v>
      </c>
      <c r="D982" s="5" t="s">
        <v>11</v>
      </c>
      <c r="E982" s="5" t="s">
        <v>15</v>
      </c>
      <c r="F982" s="5">
        <v>93</v>
      </c>
      <c r="G982" s="5">
        <v>100</v>
      </c>
      <c r="H982" s="6">
        <v>95</v>
      </c>
      <c r="I982" s="5">
        <f>SUM(F982:H982)</f>
        <v>288</v>
      </c>
      <c r="J982" s="7">
        <f>AVERAGE(F982:H982)</f>
        <v>96</v>
      </c>
      <c r="K982" s="8">
        <f>I982/300</f>
        <v>0.96</v>
      </c>
      <c r="L982" s="5">
        <f>_xlfn.RANK.EQ(J982,$J$2:$J$1001,0)</f>
        <v>20</v>
      </c>
    </row>
    <row r="983" spans="1:12" x14ac:dyDescent="0.3">
      <c r="A983" s="5" t="s">
        <v>8</v>
      </c>
      <c r="B983" s="5" t="s">
        <v>24</v>
      </c>
      <c r="C983" s="5" t="s">
        <v>14</v>
      </c>
      <c r="D983" s="5" t="s">
        <v>11</v>
      </c>
      <c r="E983" s="5" t="s">
        <v>12</v>
      </c>
      <c r="F983" s="5">
        <v>100</v>
      </c>
      <c r="G983" s="5">
        <v>92</v>
      </c>
      <c r="H983" s="6">
        <v>97</v>
      </c>
      <c r="I983" s="5">
        <f>SUM(F983:H983)</f>
        <v>289</v>
      </c>
      <c r="J983" s="7">
        <f>AVERAGE(F983:H983)</f>
        <v>96.333333333333329</v>
      </c>
      <c r="K983" s="8">
        <f>I983/300</f>
        <v>0.96333333333333337</v>
      </c>
      <c r="L983" s="5">
        <f>_xlfn.RANK.EQ(J983,$J$2:$J$1001,0)</f>
        <v>17</v>
      </c>
    </row>
    <row r="984" spans="1:12" x14ac:dyDescent="0.3">
      <c r="A984" s="5" t="s">
        <v>8</v>
      </c>
      <c r="B984" s="5" t="s">
        <v>18</v>
      </c>
      <c r="C984" s="5" t="s">
        <v>23</v>
      </c>
      <c r="D984" s="5" t="s">
        <v>11</v>
      </c>
      <c r="E984" s="5" t="s">
        <v>15</v>
      </c>
      <c r="F984" s="5">
        <v>92</v>
      </c>
      <c r="G984" s="5">
        <v>100</v>
      </c>
      <c r="H984" s="6">
        <v>97</v>
      </c>
      <c r="I984" s="5">
        <f>SUM(F984:H984)</f>
        <v>289</v>
      </c>
      <c r="J984" s="7">
        <f>AVERAGE(F984:H984)</f>
        <v>96.333333333333329</v>
      </c>
      <c r="K984" s="8">
        <f>I984/300</f>
        <v>0.96333333333333337</v>
      </c>
      <c r="L984" s="5">
        <f>_xlfn.RANK.EQ(J984,$J$2:$J$1001,0)</f>
        <v>17</v>
      </c>
    </row>
    <row r="985" spans="1:12" x14ac:dyDescent="0.3">
      <c r="A985" s="5" t="s">
        <v>8</v>
      </c>
      <c r="B985" s="5" t="s">
        <v>21</v>
      </c>
      <c r="C985" s="5" t="s">
        <v>10</v>
      </c>
      <c r="D985" s="5" t="s">
        <v>11</v>
      </c>
      <c r="E985" s="5" t="s">
        <v>12</v>
      </c>
      <c r="F985" s="5">
        <v>89</v>
      </c>
      <c r="G985" s="5">
        <v>100</v>
      </c>
      <c r="H985" s="6">
        <v>100</v>
      </c>
      <c r="I985" s="5">
        <f>SUM(F985:H985)</f>
        <v>289</v>
      </c>
      <c r="J985" s="7">
        <f>AVERAGE(F985:H985)</f>
        <v>96.333333333333329</v>
      </c>
      <c r="K985" s="8">
        <f>I985/300</f>
        <v>0.96333333333333337</v>
      </c>
      <c r="L985" s="5">
        <f>_xlfn.RANK.EQ(J985,$J$2:$J$1001,0)</f>
        <v>17</v>
      </c>
    </row>
    <row r="986" spans="1:12" x14ac:dyDescent="0.3">
      <c r="A986" s="5" t="s">
        <v>8</v>
      </c>
      <c r="B986" s="5" t="s">
        <v>9</v>
      </c>
      <c r="C986" s="5" t="s">
        <v>10</v>
      </c>
      <c r="D986" s="5" t="s">
        <v>11</v>
      </c>
      <c r="E986" s="5" t="s">
        <v>12</v>
      </c>
      <c r="F986" s="5">
        <v>97</v>
      </c>
      <c r="G986" s="5">
        <v>97</v>
      </c>
      <c r="H986" s="6">
        <v>96</v>
      </c>
      <c r="I986" s="5">
        <f>SUM(F986:H986)</f>
        <v>290</v>
      </c>
      <c r="J986" s="7">
        <f>AVERAGE(F986:H986)</f>
        <v>96.666666666666671</v>
      </c>
      <c r="K986" s="8">
        <f>I986/300</f>
        <v>0.96666666666666667</v>
      </c>
      <c r="L986" s="5">
        <f>_xlfn.RANK.EQ(J986,$J$2:$J$1001,0)</f>
        <v>16</v>
      </c>
    </row>
    <row r="987" spans="1:12" x14ac:dyDescent="0.3">
      <c r="A987" s="5" t="s">
        <v>8</v>
      </c>
      <c r="B987" s="5" t="s">
        <v>13</v>
      </c>
      <c r="C987" s="5" t="s">
        <v>10</v>
      </c>
      <c r="D987" s="5" t="s">
        <v>11</v>
      </c>
      <c r="E987" s="5" t="s">
        <v>15</v>
      </c>
      <c r="F987" s="5">
        <v>92</v>
      </c>
      <c r="G987" s="5">
        <v>100</v>
      </c>
      <c r="H987" s="6">
        <v>99</v>
      </c>
      <c r="I987" s="5">
        <f>SUM(F987:H987)</f>
        <v>291</v>
      </c>
      <c r="J987" s="7">
        <f>AVERAGE(F987:H987)</f>
        <v>97</v>
      </c>
      <c r="K987" s="8">
        <f>I987/300</f>
        <v>0.97</v>
      </c>
      <c r="L987" s="5">
        <f>_xlfn.RANK.EQ(J987,$J$2:$J$1001,0)</f>
        <v>14</v>
      </c>
    </row>
    <row r="988" spans="1:12" x14ac:dyDescent="0.3">
      <c r="A988" s="5" t="s">
        <v>8</v>
      </c>
      <c r="B988" s="5" t="s">
        <v>13</v>
      </c>
      <c r="C988" s="5" t="s">
        <v>19</v>
      </c>
      <c r="D988" s="5" t="s">
        <v>11</v>
      </c>
      <c r="E988" s="5" t="s">
        <v>15</v>
      </c>
      <c r="F988" s="5">
        <v>96</v>
      </c>
      <c r="G988" s="5">
        <v>96</v>
      </c>
      <c r="H988" s="6">
        <v>99</v>
      </c>
      <c r="I988" s="5">
        <f>SUM(F988:H988)</f>
        <v>291</v>
      </c>
      <c r="J988" s="7">
        <f>AVERAGE(F988:H988)</f>
        <v>97</v>
      </c>
      <c r="K988" s="8">
        <f>I988/300</f>
        <v>0.97</v>
      </c>
      <c r="L988" s="5">
        <f>_xlfn.RANK.EQ(J988,$J$2:$J$1001,0)</f>
        <v>14</v>
      </c>
    </row>
    <row r="989" spans="1:12" x14ac:dyDescent="0.3">
      <c r="A989" s="5" t="s">
        <v>8</v>
      </c>
      <c r="B989" s="5" t="s">
        <v>24</v>
      </c>
      <c r="C989" s="5" t="s">
        <v>10</v>
      </c>
      <c r="D989" s="5" t="s">
        <v>20</v>
      </c>
      <c r="E989" s="5" t="s">
        <v>15</v>
      </c>
      <c r="F989" s="5">
        <v>92</v>
      </c>
      <c r="G989" s="5">
        <v>100</v>
      </c>
      <c r="H989" s="6">
        <v>100</v>
      </c>
      <c r="I989" s="5">
        <f>SUM(F989:H989)</f>
        <v>292</v>
      </c>
      <c r="J989" s="7">
        <f>AVERAGE(F989:H989)</f>
        <v>97.333333333333329</v>
      </c>
      <c r="K989" s="8">
        <f>I989/300</f>
        <v>0.97333333333333338</v>
      </c>
      <c r="L989" s="5">
        <f>_xlfn.RANK.EQ(J989,$J$2:$J$1001,0)</f>
        <v>12</v>
      </c>
    </row>
    <row r="990" spans="1:12" x14ac:dyDescent="0.3">
      <c r="A990" s="5" t="s">
        <v>8</v>
      </c>
      <c r="B990" s="5" t="s">
        <v>21</v>
      </c>
      <c r="C990" s="5" t="s">
        <v>16</v>
      </c>
      <c r="D990" s="5" t="s">
        <v>11</v>
      </c>
      <c r="E990" s="5" t="s">
        <v>12</v>
      </c>
      <c r="F990" s="5">
        <v>92</v>
      </c>
      <c r="G990" s="5">
        <v>100</v>
      </c>
      <c r="H990" s="6">
        <v>100</v>
      </c>
      <c r="I990" s="5">
        <f>SUM(F990:H990)</f>
        <v>292</v>
      </c>
      <c r="J990" s="7">
        <f>AVERAGE(F990:H990)</f>
        <v>97.333333333333329</v>
      </c>
      <c r="K990" s="8">
        <f>I990/300</f>
        <v>0.97333333333333338</v>
      </c>
      <c r="L990" s="5">
        <f>_xlfn.RANK.EQ(J990,$J$2:$J$1001,0)</f>
        <v>12</v>
      </c>
    </row>
    <row r="991" spans="1:12" x14ac:dyDescent="0.3">
      <c r="A991" s="5" t="s">
        <v>17</v>
      </c>
      <c r="B991" s="5" t="s">
        <v>24</v>
      </c>
      <c r="C991" s="5" t="s">
        <v>19</v>
      </c>
      <c r="D991" s="5" t="s">
        <v>20</v>
      </c>
      <c r="E991" s="5" t="s">
        <v>15</v>
      </c>
      <c r="F991" s="5">
        <v>100</v>
      </c>
      <c r="G991" s="5">
        <v>100</v>
      </c>
      <c r="H991" s="6">
        <v>93</v>
      </c>
      <c r="I991" s="5">
        <f>SUM(F991:H991)</f>
        <v>293</v>
      </c>
      <c r="J991" s="7">
        <f>AVERAGE(F991:H991)</f>
        <v>97.666666666666671</v>
      </c>
      <c r="K991" s="8">
        <f>I991/300</f>
        <v>0.97666666666666668</v>
      </c>
      <c r="L991" s="5">
        <f>_xlfn.RANK.EQ(J991,$J$2:$J$1001,0)</f>
        <v>9</v>
      </c>
    </row>
    <row r="992" spans="1:12" x14ac:dyDescent="0.3">
      <c r="A992" s="5" t="s">
        <v>8</v>
      </c>
      <c r="B992" s="5" t="s">
        <v>24</v>
      </c>
      <c r="C992" s="5" t="s">
        <v>16</v>
      </c>
      <c r="D992" s="5" t="s">
        <v>11</v>
      </c>
      <c r="E992" s="5" t="s">
        <v>15</v>
      </c>
      <c r="F992" s="5">
        <v>94</v>
      </c>
      <c r="G992" s="5">
        <v>99</v>
      </c>
      <c r="H992" s="6">
        <v>100</v>
      </c>
      <c r="I992" s="5">
        <f>SUM(F992:H992)</f>
        <v>293</v>
      </c>
      <c r="J992" s="7">
        <f>AVERAGE(F992:H992)</f>
        <v>97.666666666666671</v>
      </c>
      <c r="K992" s="8">
        <f>I992/300</f>
        <v>0.97666666666666668</v>
      </c>
      <c r="L992" s="5">
        <f>_xlfn.RANK.EQ(J992,$J$2:$J$1001,0)</f>
        <v>9</v>
      </c>
    </row>
    <row r="993" spans="1:12" x14ac:dyDescent="0.3">
      <c r="A993" s="5" t="s">
        <v>8</v>
      </c>
      <c r="B993" s="5" t="s">
        <v>21</v>
      </c>
      <c r="C993" s="5" t="s">
        <v>10</v>
      </c>
      <c r="D993" s="5" t="s">
        <v>20</v>
      </c>
      <c r="E993" s="5" t="s">
        <v>15</v>
      </c>
      <c r="F993" s="5">
        <v>93</v>
      </c>
      <c r="G993" s="5">
        <v>100</v>
      </c>
      <c r="H993" s="6">
        <v>100</v>
      </c>
      <c r="I993" s="5">
        <f>SUM(F993:H993)</f>
        <v>293</v>
      </c>
      <c r="J993" s="7">
        <f>AVERAGE(F993:H993)</f>
        <v>97.666666666666671</v>
      </c>
      <c r="K993" s="8">
        <f>I993/300</f>
        <v>0.97666666666666668</v>
      </c>
      <c r="L993" s="5">
        <f>_xlfn.RANK.EQ(J993,$J$2:$J$1001,0)</f>
        <v>9</v>
      </c>
    </row>
    <row r="994" spans="1:12" x14ac:dyDescent="0.3">
      <c r="A994" s="5" t="s">
        <v>8</v>
      </c>
      <c r="B994" s="5" t="s">
        <v>13</v>
      </c>
      <c r="C994" s="5" t="s">
        <v>10</v>
      </c>
      <c r="D994" s="5" t="s">
        <v>11</v>
      </c>
      <c r="E994" s="5" t="s">
        <v>15</v>
      </c>
      <c r="F994" s="5">
        <v>96</v>
      </c>
      <c r="G994" s="5">
        <v>100</v>
      </c>
      <c r="H994" s="6">
        <v>100</v>
      </c>
      <c r="I994" s="5">
        <f>SUM(F994:H994)</f>
        <v>296</v>
      </c>
      <c r="J994" s="7">
        <f>AVERAGE(F994:H994)</f>
        <v>98.666666666666671</v>
      </c>
      <c r="K994" s="8">
        <f>I994/300</f>
        <v>0.98666666666666669</v>
      </c>
      <c r="L994" s="5">
        <f>_xlfn.RANK.EQ(J994,$J$2:$J$1001,0)</f>
        <v>7</v>
      </c>
    </row>
    <row r="995" spans="1:12" x14ac:dyDescent="0.3">
      <c r="A995" s="5" t="s">
        <v>17</v>
      </c>
      <c r="B995" s="5" t="s">
        <v>21</v>
      </c>
      <c r="C995" s="5" t="s">
        <v>14</v>
      </c>
      <c r="D995" s="5" t="s">
        <v>11</v>
      </c>
      <c r="E995" s="5" t="s">
        <v>15</v>
      </c>
      <c r="F995" s="5">
        <v>100</v>
      </c>
      <c r="G995" s="5">
        <v>97</v>
      </c>
      <c r="H995" s="6">
        <v>99</v>
      </c>
      <c r="I995" s="5">
        <f>SUM(F995:H995)</f>
        <v>296</v>
      </c>
      <c r="J995" s="7">
        <f>AVERAGE(F995:H995)</f>
        <v>98.666666666666671</v>
      </c>
      <c r="K995" s="8">
        <f>I995/300</f>
        <v>0.98666666666666669</v>
      </c>
      <c r="L995" s="5">
        <f>_xlfn.RANK.EQ(J995,$J$2:$J$1001,0)</f>
        <v>7</v>
      </c>
    </row>
    <row r="996" spans="1:12" x14ac:dyDescent="0.3">
      <c r="A996" s="5" t="s">
        <v>8</v>
      </c>
      <c r="B996" s="5" t="s">
        <v>21</v>
      </c>
      <c r="C996" s="5" t="s">
        <v>23</v>
      </c>
      <c r="D996" s="5" t="s">
        <v>11</v>
      </c>
      <c r="E996" s="5" t="s">
        <v>15</v>
      </c>
      <c r="F996" s="5">
        <v>97</v>
      </c>
      <c r="G996" s="5">
        <v>100</v>
      </c>
      <c r="H996" s="6">
        <v>100</v>
      </c>
      <c r="I996" s="5">
        <f>SUM(F996:H996)</f>
        <v>297</v>
      </c>
      <c r="J996" s="7">
        <f>AVERAGE(F996:H996)</f>
        <v>99</v>
      </c>
      <c r="K996" s="8">
        <f>I996/300</f>
        <v>0.99</v>
      </c>
      <c r="L996" s="5">
        <f>_xlfn.RANK.EQ(J996,$J$2:$J$1001,0)</f>
        <v>5</v>
      </c>
    </row>
    <row r="997" spans="1:12" x14ac:dyDescent="0.3">
      <c r="A997" s="5" t="s">
        <v>8</v>
      </c>
      <c r="B997" s="5" t="s">
        <v>21</v>
      </c>
      <c r="C997" s="5" t="s">
        <v>14</v>
      </c>
      <c r="D997" s="5" t="s">
        <v>11</v>
      </c>
      <c r="E997" s="5" t="s">
        <v>12</v>
      </c>
      <c r="F997" s="5">
        <v>98</v>
      </c>
      <c r="G997" s="5">
        <v>100</v>
      </c>
      <c r="H997" s="6">
        <v>99</v>
      </c>
      <c r="I997" s="5">
        <f>SUM(F997:H997)</f>
        <v>297</v>
      </c>
      <c r="J997" s="7">
        <f>AVERAGE(F997:H997)</f>
        <v>99</v>
      </c>
      <c r="K997" s="8">
        <f>I997/300</f>
        <v>0.99</v>
      </c>
      <c r="L997" s="5">
        <f>_xlfn.RANK.EQ(J997,$J$2:$J$1001,0)</f>
        <v>5</v>
      </c>
    </row>
    <row r="998" spans="1:12" x14ac:dyDescent="0.3">
      <c r="A998" s="5" t="s">
        <v>8</v>
      </c>
      <c r="B998" s="5" t="s">
        <v>24</v>
      </c>
      <c r="C998" s="5" t="s">
        <v>10</v>
      </c>
      <c r="D998" s="5" t="s">
        <v>11</v>
      </c>
      <c r="E998" s="5" t="s">
        <v>15</v>
      </c>
      <c r="F998" s="5">
        <v>99</v>
      </c>
      <c r="G998" s="5">
        <v>100</v>
      </c>
      <c r="H998" s="6">
        <v>100</v>
      </c>
      <c r="I998" s="5">
        <f>SUM(F998:H998)</f>
        <v>299</v>
      </c>
      <c r="J998" s="7">
        <f>AVERAGE(F998:H998)</f>
        <v>99.666666666666671</v>
      </c>
      <c r="K998" s="8">
        <f>I998/300</f>
        <v>0.9966666666666667</v>
      </c>
      <c r="L998" s="5">
        <f>_xlfn.RANK.EQ(J998,$J$2:$J$1001,0)</f>
        <v>4</v>
      </c>
    </row>
    <row r="999" spans="1:12" x14ac:dyDescent="0.3">
      <c r="A999" s="5" t="s">
        <v>8</v>
      </c>
      <c r="B999" s="5" t="s">
        <v>24</v>
      </c>
      <c r="C999" s="5" t="s">
        <v>10</v>
      </c>
      <c r="D999" s="5" t="s">
        <v>11</v>
      </c>
      <c r="E999" s="5" t="s">
        <v>12</v>
      </c>
      <c r="F999" s="5">
        <v>100</v>
      </c>
      <c r="G999" s="5">
        <v>100</v>
      </c>
      <c r="H999" s="6">
        <v>100</v>
      </c>
      <c r="I999" s="5">
        <f>SUM(F999:H999)</f>
        <v>300</v>
      </c>
      <c r="J999" s="7">
        <f>AVERAGE(F999:H999)</f>
        <v>100</v>
      </c>
      <c r="K999" s="8">
        <f>I999/300</f>
        <v>1</v>
      </c>
      <c r="L999" s="5">
        <f>_xlfn.RANK.EQ(J999,$J$2:$J$1001,0)</f>
        <v>1</v>
      </c>
    </row>
    <row r="1000" spans="1:12" x14ac:dyDescent="0.3">
      <c r="A1000" s="5" t="s">
        <v>17</v>
      </c>
      <c r="B1000" s="5" t="s">
        <v>24</v>
      </c>
      <c r="C1000" s="5" t="s">
        <v>10</v>
      </c>
      <c r="D1000" s="5" t="s">
        <v>11</v>
      </c>
      <c r="E1000" s="5" t="s">
        <v>15</v>
      </c>
      <c r="F1000" s="5">
        <v>100</v>
      </c>
      <c r="G1000" s="5">
        <v>100</v>
      </c>
      <c r="H1000" s="6">
        <v>100</v>
      </c>
      <c r="I1000" s="5">
        <f>SUM(F1000:H1000)</f>
        <v>300</v>
      </c>
      <c r="J1000" s="7">
        <f>AVERAGE(F1000:H1000)</f>
        <v>100</v>
      </c>
      <c r="K1000" s="8">
        <f>I1000/300</f>
        <v>1</v>
      </c>
      <c r="L1000" s="5">
        <f>_xlfn.RANK.EQ(J1000,$J$2:$J$1001,0)</f>
        <v>1</v>
      </c>
    </row>
    <row r="1001" spans="1:12" x14ac:dyDescent="0.3">
      <c r="A1001" s="5" t="s">
        <v>8</v>
      </c>
      <c r="B1001" s="5" t="s">
        <v>24</v>
      </c>
      <c r="C1001" s="5" t="s">
        <v>19</v>
      </c>
      <c r="D1001" s="5" t="s">
        <v>11</v>
      </c>
      <c r="E1001" s="5" t="s">
        <v>12</v>
      </c>
      <c r="F1001" s="5">
        <v>100</v>
      </c>
      <c r="G1001" s="5">
        <v>100</v>
      </c>
      <c r="H1001" s="6">
        <v>100</v>
      </c>
      <c r="I1001" s="5">
        <f>SUM(F1001:H1001)</f>
        <v>300</v>
      </c>
      <c r="J1001" s="7">
        <f>AVERAGE(F1001:H1001)</f>
        <v>100</v>
      </c>
      <c r="K1001" s="8">
        <f>I1001/300</f>
        <v>1</v>
      </c>
      <c r="L1001" s="5">
        <f>_xlfn.RANK.EQ(J1001,$J$2:$J$1001,0)</f>
        <v>1</v>
      </c>
    </row>
  </sheetData>
  <sortState xmlns:xlrd2="http://schemas.microsoft.com/office/spreadsheetml/2017/richdata2" ref="A2:L1001">
    <sortCondition descending="1" ref="L2:L100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E88A-1A9F-41C2-B726-E4BD9931FABC}">
  <sheetPr>
    <tabColor rgb="FFFF0000"/>
  </sheetPr>
  <dimension ref="A1:B23"/>
  <sheetViews>
    <sheetView workbookViewId="0">
      <selection activeCell="B4" sqref="B4"/>
    </sheetView>
  </sheetViews>
  <sheetFormatPr defaultRowHeight="14.4" x14ac:dyDescent="0.3"/>
  <cols>
    <col min="1" max="1" width="12.44140625" bestFit="1" customWidth="1"/>
    <col min="2" max="2" width="14.33203125" bestFit="1" customWidth="1"/>
  </cols>
  <sheetData>
    <row r="1" spans="1:2" ht="13.2" customHeight="1" x14ac:dyDescent="0.3"/>
    <row r="3" spans="1:2" x14ac:dyDescent="0.3">
      <c r="A3" s="9" t="s">
        <v>29</v>
      </c>
      <c r="B3" t="s">
        <v>32</v>
      </c>
    </row>
    <row r="4" spans="1:2" x14ac:dyDescent="0.3">
      <c r="A4" s="10" t="s">
        <v>8</v>
      </c>
      <c r="B4" s="11">
        <v>69.569498069498039</v>
      </c>
    </row>
    <row r="5" spans="1:2" x14ac:dyDescent="0.3">
      <c r="A5" s="10" t="s">
        <v>17</v>
      </c>
      <c r="B5" s="11">
        <v>65.837482710926693</v>
      </c>
    </row>
    <row r="6" spans="1:2" x14ac:dyDescent="0.3">
      <c r="A6" s="10" t="s">
        <v>30</v>
      </c>
      <c r="B6" s="11">
        <v>67.770666666666784</v>
      </c>
    </row>
    <row r="10" spans="1:2" x14ac:dyDescent="0.3">
      <c r="A10" s="9" t="s">
        <v>29</v>
      </c>
      <c r="B10" t="s">
        <v>31</v>
      </c>
    </row>
    <row r="11" spans="1:2" x14ac:dyDescent="0.3">
      <c r="A11" s="10" t="s">
        <v>18</v>
      </c>
      <c r="B11" s="11">
        <v>62.992509363295873</v>
      </c>
    </row>
    <row r="12" spans="1:2" x14ac:dyDescent="0.3">
      <c r="A12" s="10" t="s">
        <v>9</v>
      </c>
      <c r="B12" s="11">
        <v>65.46842105263157</v>
      </c>
    </row>
    <row r="13" spans="1:2" x14ac:dyDescent="0.3">
      <c r="A13" s="10" t="s">
        <v>13</v>
      </c>
      <c r="B13" s="11">
        <v>67.131661442006276</v>
      </c>
    </row>
    <row r="14" spans="1:2" x14ac:dyDescent="0.3">
      <c r="A14" s="10" t="s">
        <v>21</v>
      </c>
      <c r="B14" s="11">
        <v>69.179389312977136</v>
      </c>
    </row>
    <row r="15" spans="1:2" x14ac:dyDescent="0.3">
      <c r="A15" s="10" t="s">
        <v>24</v>
      </c>
      <c r="B15" s="11">
        <v>72.75238095238096</v>
      </c>
    </row>
    <row r="16" spans="1:2" x14ac:dyDescent="0.3">
      <c r="A16" s="10" t="s">
        <v>30</v>
      </c>
      <c r="B16" s="11">
        <v>67.770666666666742</v>
      </c>
    </row>
    <row r="20" spans="1:2" x14ac:dyDescent="0.3">
      <c r="A20" s="9" t="s">
        <v>29</v>
      </c>
      <c r="B20" t="s">
        <v>31</v>
      </c>
    </row>
    <row r="21" spans="1:2" x14ac:dyDescent="0.3">
      <c r="A21" s="10" t="s">
        <v>15</v>
      </c>
      <c r="B21" s="11">
        <v>72.669459962756051</v>
      </c>
    </row>
    <row r="22" spans="1:2" x14ac:dyDescent="0.3">
      <c r="A22" s="10" t="s">
        <v>12</v>
      </c>
      <c r="B22" s="11">
        <v>65.038940809968835</v>
      </c>
    </row>
    <row r="23" spans="1:2" x14ac:dyDescent="0.3">
      <c r="A23" s="10" t="s">
        <v>30</v>
      </c>
      <c r="B23" s="11">
        <v>67.770666666666742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FE59-8E7A-4C81-855F-1932B7E67B62}">
  <sheetPr>
    <tabColor rgb="FFC00000"/>
  </sheetPr>
  <dimension ref="A1"/>
  <sheetViews>
    <sheetView showGridLines="0" tabSelected="1" zoomScale="84" zoomScaleNormal="84"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StudentsPerformance</vt:lpstr>
      <vt:lpstr>Student Analysis</vt:lpstr>
      <vt:lpstr>Pivot Table</vt:lpstr>
      <vt:lpstr>Student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RAJESHWARI</dc:creator>
  <cp:lastModifiedBy>Rajeswari Arunachalam</cp:lastModifiedBy>
  <dcterms:created xsi:type="dcterms:W3CDTF">2026-10-21T22:27:17Z</dcterms:created>
  <dcterms:modified xsi:type="dcterms:W3CDTF">2026-10-23T18:59:42Z</dcterms:modified>
</cp:coreProperties>
</file>